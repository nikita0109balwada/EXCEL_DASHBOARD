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Ex1.xml" ContentType="application/vnd.ms-office.chartex+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Ex2.xml" ContentType="application/vnd.ms-office.chartex+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NIKITA BALWADA\OneDrive\Documents\"/>
    </mc:Choice>
  </mc:AlternateContent>
  <xr:revisionPtr revIDLastSave="0" documentId="8_{1F85D984-E02B-4B9D-9FF9-5472D619E004}" xr6:coauthVersionLast="47" xr6:coauthVersionMax="47" xr10:uidLastSave="{00000000-0000-0000-0000-000000000000}"/>
  <bookViews>
    <workbookView xWindow="-110" yWindow="-110" windowWidth="19420" windowHeight="10300" firstSheet="8" activeTab="11" xr2:uid="{874DA772-9683-46F1-95BE-98DC3072B7C5}"/>
  </bookViews>
  <sheets>
    <sheet name="Original_Dataset" sheetId="1" r:id="rId1"/>
    <sheet name="Obj1" sheetId="3" r:id="rId2"/>
    <sheet name="obj2" sheetId="4" r:id="rId3"/>
    <sheet name="obj3" sheetId="5" r:id="rId4"/>
    <sheet name="obj4" sheetId="6" r:id="rId5"/>
    <sheet name="obj5" sheetId="7" r:id="rId6"/>
    <sheet name="obj6" sheetId="8" r:id="rId7"/>
    <sheet name="obj8" sheetId="9" r:id="rId8"/>
    <sheet name="Sheet2" sheetId="13" r:id="rId9"/>
    <sheet name="Sheet3" sheetId="14" r:id="rId10"/>
    <sheet name="Cleaned_Dataset" sheetId="2" r:id="rId11"/>
    <sheet name="Dashboard" sheetId="11" r:id="rId12"/>
    <sheet name="KPIS" sheetId="10" r:id="rId13"/>
    <sheet name="Sheet1" sheetId="12" r:id="rId14"/>
    <sheet name="Homepage" sheetId="16" r:id="rId15"/>
  </sheets>
  <definedNames>
    <definedName name="_xlnm._FilterDatabase" localSheetId="0" hidden="1">Original_Dataset!$A$1:$L$568</definedName>
    <definedName name="_xlchart.v1.0" hidden="1">'obj4'!$D$4:$D$62</definedName>
    <definedName name="_xlchart.v1.1" hidden="1">'obj4'!$E$4:$E$62</definedName>
    <definedName name="_xlchart.v1.2" hidden="1">'obj4'!$D$4:$D$62</definedName>
    <definedName name="_xlchart.v1.3" hidden="1">'obj4'!$E$4:$E$62</definedName>
    <definedName name="_xlchart.v1.4" hidden="1">'obj4'!$D$4:$D$62</definedName>
    <definedName name="_xlchart.v1.5" hidden="1">'obj4'!$E$4:$E$62</definedName>
    <definedName name="Slicer_Fleet_Age">#N/A</definedName>
    <definedName name="Slicer_SRTU">#N/A</definedName>
    <definedName name="Slicer_Year">#N/A</definedName>
  </definedNames>
  <calcPr calcId="191029"/>
  <pivotCaches>
    <pivotCache cacheId="1" r:id="rId16"/>
  </pivotCaches>
  <extLs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7" i="12" l="1"/>
  <c r="E15" i="12"/>
  <c r="E13" i="12"/>
  <c r="E11" i="12"/>
  <c r="E9" i="12"/>
  <c r="E7" i="12"/>
  <c r="E5" i="12"/>
  <c r="E3" i="1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2" i="2"/>
  <c r="N64" i="3"/>
</calcChain>
</file>

<file path=xl/sharedStrings.xml><?xml version="1.0" encoding="utf-8"?>
<sst xmlns="http://schemas.openxmlformats.org/spreadsheetml/2006/main" count="3302" uniqueCount="129">
  <si>
    <t>Country</t>
  </si>
  <si>
    <t>srcYear</t>
  </si>
  <si>
    <t>Name of State Road Transport Undertakings (SRTUs)</t>
  </si>
  <si>
    <t>Average age of fleet</t>
  </si>
  <si>
    <t>Average fleet held</t>
  </si>
  <si>
    <t>Fuel efficiency</t>
  </si>
  <si>
    <t>Passenger carried</t>
  </si>
  <si>
    <t>Passenger Kilometres performed</t>
  </si>
  <si>
    <t>Staff strength</t>
  </si>
  <si>
    <t>Additional Info</t>
  </si>
  <si>
    <t>YearCode</t>
  </si>
  <si>
    <t>Year</t>
  </si>
  <si>
    <t>India</t>
  </si>
  <si>
    <t>2008-09</t>
  </si>
  <si>
    <t>Navi Mumbai Mt</t>
  </si>
  <si>
    <t>Financial Year (Apr - Mar), 2008</t>
  </si>
  <si>
    <t>Nagaland St</t>
  </si>
  <si>
    <t>South Bengal Stc</t>
  </si>
  <si>
    <t>Mizoram St</t>
  </si>
  <si>
    <t>Metro Tc ( Chennai ) Limited</t>
  </si>
  <si>
    <t>Meghalaya Stc</t>
  </si>
  <si>
    <t>State Exp . Tc Tn Ltd.</t>
  </si>
  <si>
    <t>Maharashtra Srtc</t>
  </si>
  <si>
    <t>Kerala Srtc</t>
  </si>
  <si>
    <t>Karnataka Srtc</t>
  </si>
  <si>
    <t>Tn Stc ( Coimbatore ) Ltd.</t>
  </si>
  <si>
    <t>Kadamba Tc Ltd.</t>
  </si>
  <si>
    <t>J &amp; K Srtc</t>
  </si>
  <si>
    <t>Himachal Rtc</t>
  </si>
  <si>
    <t>Tn Stc ( Kumbakonam ) Ltd.</t>
  </si>
  <si>
    <t>Haryana St</t>
  </si>
  <si>
    <t>Gujarat Srtc</t>
  </si>
  <si>
    <t>Delhi Tc</t>
  </si>
  <si>
    <t>Chandigarh Tu</t>
  </si>
  <si>
    <t>Tn Stc ( Madurai ) Ltd.</t>
  </si>
  <si>
    <t>Calcutta Stc</t>
  </si>
  <si>
    <t>Bihar Srtc</t>
  </si>
  <si>
    <t>Bangalore Metropolitan Tc</t>
  </si>
  <si>
    <t>Tn Stc ( Salem ) Ltd.</t>
  </si>
  <si>
    <t>Best Undertaking</t>
  </si>
  <si>
    <t>Assam Stc</t>
  </si>
  <si>
    <t>Andaman &amp; Nicobar St</t>
  </si>
  <si>
    <t>Tn Stc ( Villupuram ) Ltd.</t>
  </si>
  <si>
    <t>Andhra Pradesh Srtc</t>
  </si>
  <si>
    <t>Ahmedabad Mtc</t>
  </si>
  <si>
    <t>Pune Mahamandal</t>
  </si>
  <si>
    <t>Tripura Rtc</t>
  </si>
  <si>
    <t>Uttar Pradesh Srtc ( P )</t>
  </si>
  <si>
    <t>Odisha Srtc</t>
  </si>
  <si>
    <t>North Western Karnataka Rtc</t>
  </si>
  <si>
    <t>North Eastern Karnataka Rtc</t>
  </si>
  <si>
    <t>Rajasthan Srtc</t>
  </si>
  <si>
    <t>North Bengal Stc</t>
  </si>
  <si>
    <t>2009-10</t>
  </si>
  <si>
    <t>Financial Year (Apr - Mar), 2009</t>
  </si>
  <si>
    <t>Uttarakhand Tc</t>
  </si>
  <si>
    <t>Arunachal Pradesh St</t>
  </si>
  <si>
    <t>Pepsu Rtc</t>
  </si>
  <si>
    <t>Punbus</t>
  </si>
  <si>
    <t>State Transport Punjab</t>
  </si>
  <si>
    <t>Sikkim Nt</t>
  </si>
  <si>
    <t>Thane Mt</t>
  </si>
  <si>
    <t>2010-11</t>
  </si>
  <si>
    <t>Financial Year (Apr - Mar), 2010</t>
  </si>
  <si>
    <t>Solapur Mt</t>
  </si>
  <si>
    <t>Telangana Srtc</t>
  </si>
  <si>
    <t>2011-12</t>
  </si>
  <si>
    <t>Financial Year (Apr - Mar), 2011</t>
  </si>
  <si>
    <t>2012-13</t>
  </si>
  <si>
    <t>Kamataka Srtc</t>
  </si>
  <si>
    <t>Financial Year (Apr - Mar), 2012</t>
  </si>
  <si>
    <t>Kolhapur Mtu</t>
  </si>
  <si>
    <t>Puducherry Road Transport Corp</t>
  </si>
  <si>
    <t>West Bengal Transport Corp.</t>
  </si>
  <si>
    <t>Kanpur City Tsl</t>
  </si>
  <si>
    <t>Meerut City Tsl</t>
  </si>
  <si>
    <t>Tn Stc ( Tirunelvell ) Ltd.</t>
  </si>
  <si>
    <t>Delhi Integrated Mts</t>
  </si>
  <si>
    <t>Himachal Pradesh Tdcl</t>
  </si>
  <si>
    <t>Kalyan Dombivali Mt</t>
  </si>
  <si>
    <t>2013-14</t>
  </si>
  <si>
    <t>Financial Year (Apr - Mar), 2013</t>
  </si>
  <si>
    <t>Fuel Efficiency (KM/litre of HSD) or (KM/KG of CNG) : 3.45 Kilometere per KG of CNG</t>
  </si>
  <si>
    <t>Fuel Efficiency (KM/litre of HSD) or (KM/KG of CNG) : 2.64 Kilometere per KG of CNG</t>
  </si>
  <si>
    <t>2014-15</t>
  </si>
  <si>
    <t>Financial Year (Apr - Mar), 2014</t>
  </si>
  <si>
    <t>2015-16</t>
  </si>
  <si>
    <t>Financial Year (Apr - Mar), 2015</t>
  </si>
  <si>
    <t>2016-17</t>
  </si>
  <si>
    <t>Financial Year (Apr - Mar), 2016</t>
  </si>
  <si>
    <t>Agra - Mathura City Tsl</t>
  </si>
  <si>
    <t>Jaipur City Ts Ltd.</t>
  </si>
  <si>
    <t>Ahemdabad Janmarg Ltd</t>
  </si>
  <si>
    <t>Sholapur Mt</t>
  </si>
  <si>
    <t>2017-18</t>
  </si>
  <si>
    <t>Financial Year (Apr - Mar), 2017</t>
  </si>
  <si>
    <t>2018-19</t>
  </si>
  <si>
    <t>Financial Year (Apr - Mar), 2018</t>
  </si>
  <si>
    <t>Passenger KM</t>
  </si>
  <si>
    <t>Fleet Held</t>
  </si>
  <si>
    <t>Fleet Age</t>
  </si>
  <si>
    <t>Fleet Age Category</t>
  </si>
  <si>
    <t>SRTU</t>
  </si>
  <si>
    <t>1. Total Number of Passengers Carried by each SRTU over the Years</t>
  </si>
  <si>
    <t>Row Labels</t>
  </si>
  <si>
    <t>Grand Total</t>
  </si>
  <si>
    <t>Column Labels</t>
  </si>
  <si>
    <t>Sum of Passenger carried</t>
  </si>
  <si>
    <t>2. Average Fleet Age Trend Over Time</t>
  </si>
  <si>
    <t>Sum of Fleet Age</t>
  </si>
  <si>
    <t>Average of Fleet Age</t>
  </si>
  <si>
    <t xml:space="preserve"> 3. Fuel Efficiency Comparison Across States or SRTUs</t>
  </si>
  <si>
    <t>Average of Fuel efficiency</t>
  </si>
  <si>
    <t xml:space="preserve"> 2. Fleet Held Composition by State or SRTU (Tree Map)</t>
  </si>
  <si>
    <t>Sum of Fleet Held</t>
  </si>
  <si>
    <t>&lt;5 Years</t>
  </si>
  <si>
    <t>5-10 Years</t>
  </si>
  <si>
    <t>(All)</t>
  </si>
  <si>
    <t>Sum of Passenger KM</t>
  </si>
  <si>
    <t>Total passengers carried=</t>
  </si>
  <si>
    <t>total fleet held=</t>
  </si>
  <si>
    <t>Avg. Fuel Efficiency</t>
  </si>
  <si>
    <t>Passenger KM Performed</t>
  </si>
  <si>
    <t>Average Fleet Age</t>
  </si>
  <si>
    <t>Staff Strength</t>
  </si>
  <si>
    <t>max SRTU</t>
  </si>
  <si>
    <t>least srtu</t>
  </si>
  <si>
    <t>(Multiple Items)</t>
  </si>
  <si>
    <t>Sum of Fuel efficiency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</si>
</sst>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0" fillId="0" borderId="0" xfId="0" applyAlignment="1">
      <alignment horizontal="center"/>
    </xf>
    <xf numFmtId="0" fontId="0" fillId="0" borderId="0" xfId="0" pivotButton="1"/>
    <xf numFmtId="0" fontId="0" fillId="0" borderId="0" xfId="0" applyAlignment="1">
      <alignment horizontal="left"/>
    </xf>
    <xf numFmtId="0" fontId="0" fillId="33" borderId="0" xfId="0" applyFill="1"/>
    <xf numFmtId="2" fontId="0" fillId="0" borderId="0" xfId="0" applyNumberFormat="1"/>
    <xf numFmtId="1" fontId="0" fillId="0" borderId="0" xfId="0" applyNumberFormat="1"/>
    <xf numFmtId="0" fontId="0" fillId="0" borderId="0" xfId="0" applyAlignment="1">
      <alignment horizontal="center"/>
    </xf>
    <xf numFmtId="0" fontId="0" fillId="0" borderId="0" xfId="0" applyNumberFormat="1"/>
    <xf numFmtId="0" fontId="0" fillId="33"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1" defaultTableStyle="TableStyleMedium2" defaultPivotStyle="PivotStyleLight16">
    <tableStyle name="Slicer Style 1" pivot="0" table="0" count="0" xr9:uid="{C0DB8B35-063D-463E-93E9-C3D49B3CF55B}"/>
  </tableStyles>
  <colors>
    <mruColors>
      <color rgb="FF4B0C89"/>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[Excel_Dashboard_new.xlsm]Obj1!PivotTable10</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'Obj1'!$B$3:$B$4</c:f>
              <c:strCache>
                <c:ptCount val="1"/>
                <c:pt idx="0">
                  <c:v>2008</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'Obj1'!$A$5:$A$9</c:f>
              <c:strCache>
                <c:ptCount val="4"/>
                <c:pt idx="0">
                  <c:v>Odisha Srtc</c:v>
                </c:pt>
                <c:pt idx="1">
                  <c:v>Pepsu Rtc</c:v>
                </c:pt>
                <c:pt idx="2">
                  <c:v>Punbus</c:v>
                </c:pt>
                <c:pt idx="3">
                  <c:v>Rajasthan Srtc</c:v>
                </c:pt>
              </c:strCache>
            </c:strRef>
          </c:cat>
          <c:val>
            <c:numRef>
              <c:f>'Obj1'!$B$5:$B$9</c:f>
              <c:numCache>
                <c:formatCode>General</c:formatCode>
                <c:ptCount val="4"/>
                <c:pt idx="0">
                  <c:v>57</c:v>
                </c:pt>
                <c:pt idx="3">
                  <c:v>3699</c:v>
                </c:pt>
              </c:numCache>
            </c:numRef>
          </c:val>
          <c:extLst>
            <c:ext xmlns:c16="http://schemas.microsoft.com/office/drawing/2014/chart" uri="{C3380CC4-5D6E-409C-BE32-E72D297353CC}">
              <c16:uniqueId val="{00000000-C8C1-4B77-AF81-CB553E30CB99}"/>
            </c:ext>
          </c:extLst>
        </c:ser>
        <c:ser>
          <c:idx val="1"/>
          <c:order val="1"/>
          <c:tx>
            <c:strRef>
              <c:f>'Obj1'!$C$3:$C$4</c:f>
              <c:strCache>
                <c:ptCount val="1"/>
                <c:pt idx="0">
                  <c:v>2010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'Obj1'!$A$5:$A$9</c:f>
              <c:strCache>
                <c:ptCount val="4"/>
                <c:pt idx="0">
                  <c:v>Odisha Srtc</c:v>
                </c:pt>
                <c:pt idx="1">
                  <c:v>Pepsu Rtc</c:v>
                </c:pt>
                <c:pt idx="2">
                  <c:v>Punbus</c:v>
                </c:pt>
                <c:pt idx="3">
                  <c:v>Rajasthan Srtc</c:v>
                </c:pt>
              </c:strCache>
            </c:strRef>
          </c:cat>
          <c:val>
            <c:numRef>
              <c:f>'Obj1'!$C$5:$C$9</c:f>
              <c:numCache>
                <c:formatCode>General</c:formatCode>
                <c:ptCount val="4"/>
                <c:pt idx="0">
                  <c:v>48</c:v>
                </c:pt>
                <c:pt idx="3">
                  <c:v>3391</c:v>
                </c:pt>
              </c:numCache>
            </c:numRef>
          </c:val>
          <c:extLst>
            <c:ext xmlns:c16="http://schemas.microsoft.com/office/drawing/2014/chart" uri="{C3380CC4-5D6E-409C-BE32-E72D297353CC}">
              <c16:uniqueId val="{00000019-B39B-4F02-81B8-1822E2462325}"/>
            </c:ext>
          </c:extLst>
        </c:ser>
        <c:ser>
          <c:idx val="2"/>
          <c:order val="2"/>
          <c:tx>
            <c:strRef>
              <c:f>'Obj1'!$D$3:$D$4</c:f>
              <c:strCache>
                <c:ptCount val="1"/>
                <c:pt idx="0">
                  <c:v>2014</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'Obj1'!$A$5:$A$9</c:f>
              <c:strCache>
                <c:ptCount val="4"/>
                <c:pt idx="0">
                  <c:v>Odisha Srtc</c:v>
                </c:pt>
                <c:pt idx="1">
                  <c:v>Pepsu Rtc</c:v>
                </c:pt>
                <c:pt idx="2">
                  <c:v>Punbus</c:v>
                </c:pt>
                <c:pt idx="3">
                  <c:v>Rajasthan Srtc</c:v>
                </c:pt>
              </c:strCache>
            </c:strRef>
          </c:cat>
          <c:val>
            <c:numRef>
              <c:f>'Obj1'!$D$5:$D$9</c:f>
              <c:numCache>
                <c:formatCode>General</c:formatCode>
                <c:ptCount val="4"/>
                <c:pt idx="0">
                  <c:v>64</c:v>
                </c:pt>
                <c:pt idx="2">
                  <c:v>919</c:v>
                </c:pt>
                <c:pt idx="3">
                  <c:v>3582</c:v>
                </c:pt>
              </c:numCache>
            </c:numRef>
          </c:val>
          <c:extLst>
            <c:ext xmlns:c16="http://schemas.microsoft.com/office/drawing/2014/chart" uri="{C3380CC4-5D6E-409C-BE32-E72D297353CC}">
              <c16:uniqueId val="{0000001A-B39B-4F02-81B8-1822E2462325}"/>
            </c:ext>
          </c:extLst>
        </c:ser>
        <c:ser>
          <c:idx val="3"/>
          <c:order val="3"/>
          <c:tx>
            <c:strRef>
              <c:f>'Obj1'!$E$3:$E$4</c:f>
              <c:strCache>
                <c:ptCount val="1"/>
                <c:pt idx="0">
                  <c:v>2018</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'Obj1'!$A$5:$A$9</c:f>
              <c:strCache>
                <c:ptCount val="4"/>
                <c:pt idx="0">
                  <c:v>Odisha Srtc</c:v>
                </c:pt>
                <c:pt idx="1">
                  <c:v>Pepsu Rtc</c:v>
                </c:pt>
                <c:pt idx="2">
                  <c:v>Punbus</c:v>
                </c:pt>
                <c:pt idx="3">
                  <c:v>Rajasthan Srtc</c:v>
                </c:pt>
              </c:strCache>
            </c:strRef>
          </c:cat>
          <c:val>
            <c:numRef>
              <c:f>'Obj1'!$E$5:$E$9</c:f>
              <c:numCache>
                <c:formatCode>General</c:formatCode>
                <c:ptCount val="4"/>
                <c:pt idx="0">
                  <c:v>71.7</c:v>
                </c:pt>
                <c:pt idx="1">
                  <c:v>0.28000000000000003</c:v>
                </c:pt>
                <c:pt idx="2">
                  <c:v>1642.5</c:v>
                </c:pt>
                <c:pt idx="3">
                  <c:v>3106.89</c:v>
                </c:pt>
              </c:numCache>
            </c:numRef>
          </c:val>
          <c:extLst>
            <c:ext xmlns:c16="http://schemas.microsoft.com/office/drawing/2014/chart" uri="{C3380CC4-5D6E-409C-BE32-E72D297353CC}">
              <c16:uniqueId val="{0000001B-B39B-4F02-81B8-1822E2462325}"/>
            </c:ext>
          </c:extLst>
        </c:ser>
        <c:dLbls>
          <c:showLegendKey val="0"/>
          <c:showVal val="0"/>
          <c:showCatName val="0"/>
          <c:showSerName val="0"/>
          <c:showPercent val="0"/>
          <c:showBubbleSize val="0"/>
        </c:dLbls>
        <c:gapWidth val="100"/>
        <c:overlap val="-24"/>
        <c:axId val="1109816848"/>
        <c:axId val="1109817328"/>
      </c:barChart>
      <c:catAx>
        <c:axId val="11098168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9817328"/>
        <c:crosses val="autoZero"/>
        <c:auto val="1"/>
        <c:lblAlgn val="ctr"/>
        <c:lblOffset val="100"/>
        <c:noMultiLvlLbl val="0"/>
      </c:catAx>
      <c:valAx>
        <c:axId val="11098173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9816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[Excel_Dashboard_new.xlsm]obj2!PivotTable11</c:name>
    <c:fmtId val="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'obj2'!$B$3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'obj2'!$A$4:$A$8</c:f>
              <c:strCache>
                <c:ptCount val="4"/>
                <c:pt idx="0">
                  <c:v>2008</c:v>
                </c:pt>
                <c:pt idx="1">
                  <c:v>2010</c:v>
                </c:pt>
                <c:pt idx="2">
                  <c:v>2014</c:v>
                </c:pt>
                <c:pt idx="3">
                  <c:v>2018</c:v>
                </c:pt>
              </c:strCache>
            </c:strRef>
          </c:cat>
          <c:val>
            <c:numRef>
              <c:f>'obj2'!$B$4:$B$8</c:f>
              <c:numCache>
                <c:formatCode>General</c:formatCode>
                <c:ptCount val="4"/>
                <c:pt idx="0">
                  <c:v>6.95</c:v>
                </c:pt>
                <c:pt idx="1">
                  <c:v>4.4499999999999993</c:v>
                </c:pt>
                <c:pt idx="2">
                  <c:v>5.3566666666666665</c:v>
                </c:pt>
                <c:pt idx="3">
                  <c:v>6.6074999999999999</c:v>
                </c:pt>
              </c:numCache>
            </c:numRef>
          </c:val>
          <c:smooth val="0"/>
          <c:extLst>
            <c:ext xmlns:c16="http://schemas.microsoft.com/office/drawing/2014/chart" uri="{C3380CC4-5D6E-409C-BE32-E72D297353CC}">
              <c16:uniqueId val="{00000000-B37E-49A3-949E-FF7F1BE15E57}"/>
            </c:ext>
          </c:extLst>
        </c:ser>
        <c:dLbls>
          <c:showLegendKey val="0"/>
          <c:showVal val="0"/>
          <c:showCatName val="0"/>
          <c:showSerName val="0"/>
          <c:showPercent val="0"/>
          <c:showBubbleSize val="0"/>
        </c:dLbls>
        <c:marker val="1"/>
        <c:smooth val="0"/>
        <c:axId val="1105623424"/>
        <c:axId val="1105621504"/>
      </c:lineChart>
      <c:catAx>
        <c:axId val="110562342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5621504"/>
        <c:crosses val="autoZero"/>
        <c:auto val="1"/>
        <c:lblAlgn val="ctr"/>
        <c:lblOffset val="100"/>
        <c:noMultiLvlLbl val="0"/>
      </c:catAx>
      <c:valAx>
        <c:axId val="11056215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5623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[Excel_Dashboard_new.xlsm]obj3!PivotTable12</c:name>
    <c:fmtId val="1"/>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'obj3'!$B$4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'obj3'!$A$5:$A$10</c:f>
              <c:strCache>
                <c:ptCount val="5"/>
                <c:pt idx="0">
                  <c:v>Gujarat Srtc</c:v>
                </c:pt>
                <c:pt idx="1">
                  <c:v>Tn Stc ( Kumbakonam ) Ltd.</c:v>
                </c:pt>
                <c:pt idx="2">
                  <c:v>Tn Stc ( Madurai ) Ltd.</c:v>
                </c:pt>
                <c:pt idx="3">
                  <c:v>Tn Stc ( Salem ) Ltd.</c:v>
                </c:pt>
                <c:pt idx="4">
                  <c:v>Tn Stc ( Villupuram ) Ltd.</c:v>
                </c:pt>
              </c:strCache>
            </c:strRef>
          </c:cat>
          <c:val>
            <c:numRef>
              <c:f>'obj3'!$B$5:$B$10</c:f>
              <c:numCache>
                <c:formatCode>General</c:formatCode>
                <c:ptCount val="5"/>
                <c:pt idx="0">
                  <c:v>5.48</c:v>
                </c:pt>
                <c:pt idx="1">
                  <c:v>5.63</c:v>
                </c:pt>
                <c:pt idx="2">
                  <c:v>5.4</c:v>
                </c:pt>
                <c:pt idx="3">
                  <c:v>5.53</c:v>
                </c:pt>
                <c:pt idx="4">
                  <c:v>5.59</c:v>
                </c:pt>
              </c:numCache>
            </c:numRef>
          </c:val>
          <c:extLst>
            <c:ext xmlns:c16="http://schemas.microsoft.com/office/drawing/2014/chart" uri="{C3380CC4-5D6E-409C-BE32-E72D297353CC}">
              <c16:uniqueId val="{00000000-618A-4C53-B83D-05DFFAEFAF62}"/>
            </c:ext>
          </c:extLst>
        </c:ser>
        <c:dLbls>
          <c:showLegendKey val="0"/>
          <c:showVal val="0"/>
          <c:showCatName val="0"/>
          <c:showSerName val="0"/>
          <c:showPercent val="0"/>
          <c:showBubbleSize val="0"/>
        </c:dLbls>
        <c:gapWidth val="100"/>
        <c:overlap val="-24"/>
        <c:axId val="1116577200"/>
        <c:axId val="1116576720"/>
      </c:barChart>
      <c:catAx>
        <c:axId val="11165772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6576720"/>
        <c:crosses val="autoZero"/>
        <c:auto val="1"/>
        <c:lblAlgn val="ctr"/>
        <c:lblOffset val="100"/>
        <c:noMultiLvlLbl val="0"/>
      </c:catAx>
      <c:valAx>
        <c:axId val="11165767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6577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[Excel_Dashboard_new.xlsm]obj5!PivotTable14</c:name>
    <c:fmtId val="5"/>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'obj5'!$B$3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'obj5'!$A$4:$A$8</c:f>
              <c:strCache>
                <c:ptCount val="4"/>
                <c:pt idx="0">
                  <c:v>2008</c:v>
                </c:pt>
                <c:pt idx="1">
                  <c:v>2010</c:v>
                </c:pt>
                <c:pt idx="2">
                  <c:v>2014</c:v>
                </c:pt>
                <c:pt idx="3">
                  <c:v>2018</c:v>
                </c:pt>
              </c:strCache>
            </c:strRef>
          </c:cat>
          <c:val>
            <c:numRef>
              <c:f>'obj5'!$B$4:$B$8</c:f>
              <c:numCache>
                <c:formatCode>General</c:formatCode>
                <c:ptCount val="4"/>
                <c:pt idx="0">
                  <c:v>3756</c:v>
                </c:pt>
                <c:pt idx="1">
                  <c:v>3439</c:v>
                </c:pt>
                <c:pt idx="2">
                  <c:v>4565</c:v>
                </c:pt>
                <c:pt idx="3">
                  <c:v>4821.37</c:v>
                </c:pt>
              </c:numCache>
            </c:numRef>
          </c:val>
          <c:smooth val="0"/>
          <c:extLst>
            <c:ext xmlns:c16="http://schemas.microsoft.com/office/drawing/2014/chart" uri="{C3380CC4-5D6E-409C-BE32-E72D297353CC}">
              <c16:uniqueId val="{00000000-A825-4CE2-8FF9-24023E3CD6E7}"/>
            </c:ext>
          </c:extLst>
        </c:ser>
        <c:dLbls>
          <c:showLegendKey val="0"/>
          <c:showVal val="0"/>
          <c:showCatName val="0"/>
          <c:showSerName val="0"/>
          <c:showPercent val="0"/>
          <c:showBubbleSize val="0"/>
        </c:dLbls>
        <c:marker val="1"/>
        <c:smooth val="0"/>
        <c:axId val="1112745232"/>
        <c:axId val="1112744272"/>
      </c:lineChart>
      <c:catAx>
        <c:axId val="111274523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2744272"/>
        <c:crosses val="autoZero"/>
        <c:auto val="1"/>
        <c:lblAlgn val="ctr"/>
        <c:lblOffset val="100"/>
        <c:noMultiLvlLbl val="0"/>
      </c:catAx>
      <c:valAx>
        <c:axId val="11127442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2745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[Excel_Dashboard_new.xlsm]obj6!PivotTable15</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'obj6'!$B$3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1E0-4DBF-A894-3283939802B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1E0-4DBF-A894-3283939802B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1E0-4DBF-A894-3283939802BE}"/>
              </c:ext>
            </c:extLst>
          </c:dPt>
          <c:cat>
            <c:strRef>
              <c:f>'obj6'!$A$4:$A$6</c:f>
              <c:strCache>
                <c:ptCount val="2"/>
                <c:pt idx="0">
                  <c:v>&lt;5 Years</c:v>
                </c:pt>
                <c:pt idx="1">
                  <c:v>5-10 Years</c:v>
                </c:pt>
              </c:strCache>
            </c:strRef>
          </c:cat>
          <c:val>
            <c:numRef>
              <c:f>'obj6'!$B$4:$B$6</c:f>
              <c:numCache>
                <c:formatCode>General</c:formatCode>
                <c:ptCount val="2"/>
                <c:pt idx="0">
                  <c:v>22.869999999999997</c:v>
                </c:pt>
                <c:pt idx="1">
                  <c:v>42.43</c:v>
                </c:pt>
              </c:numCache>
            </c:numRef>
          </c:val>
          <c:extLst>
            <c:ext xmlns:c16="http://schemas.microsoft.com/office/drawing/2014/chart" uri="{C3380CC4-5D6E-409C-BE32-E72D297353CC}">
              <c16:uniqueId val="{00000000-0841-4FFB-81AB-85D181872EE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[Excel_Dashboard_new.xlsm]obj8!PivotTable16</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'obj8'!$B$3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794-440D-8BDA-2EA2D63225A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794-440D-8BDA-2EA2D63225A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794-440D-8BDA-2EA2D63225A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794-440D-8BDA-2EA2D63225A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794-440D-8BDA-2EA2D63225A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794-440D-8BDA-2EA2D63225A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E56-4722-B906-AD07DE7ABBB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E56-4722-B906-AD07DE7ABBB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E56-4722-B906-AD07DE7ABBBD}"/>
              </c:ext>
            </c:extLst>
          </c:dPt>
          <c:cat>
            <c:strRef>
              <c:f>'obj8'!$A$4:$A$8</c:f>
              <c:strCache>
                <c:ptCount val="4"/>
                <c:pt idx="0">
                  <c:v>Odisha Srtc</c:v>
                </c:pt>
                <c:pt idx="1">
                  <c:v>Pepsu Rtc</c:v>
                </c:pt>
                <c:pt idx="2">
                  <c:v>Punbus</c:v>
                </c:pt>
                <c:pt idx="3">
                  <c:v>Rajasthan Srtc</c:v>
                </c:pt>
              </c:strCache>
            </c:strRef>
          </c:cat>
          <c:val>
            <c:numRef>
              <c:f>'obj8'!$B$4:$B$8</c:f>
              <c:numCache>
                <c:formatCode>General</c:formatCode>
                <c:ptCount val="4"/>
                <c:pt idx="0">
                  <c:v>221852.57</c:v>
                </c:pt>
                <c:pt idx="1">
                  <c:v>1300</c:v>
                </c:pt>
                <c:pt idx="2">
                  <c:v>2860</c:v>
                </c:pt>
                <c:pt idx="3">
                  <c:v>927548.26</c:v>
                </c:pt>
              </c:numCache>
            </c:numRef>
          </c:val>
          <c:extLst>
            <c:ext xmlns:c16="http://schemas.microsoft.com/office/drawing/2014/chart" uri="{C3380CC4-5D6E-409C-BE32-E72D297353CC}">
              <c16:uniqueId val="{00000000-0111-4042-A7F5-DB78C4D2F89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[Excel_Dashboard_new.xlsm]Sheet2!PivotTable1</c:name>
    <c:fmtId val="5"/>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Sheet2!$A$4:$A$8</c:f>
              <c:strCache>
                <c:ptCount val="4"/>
                <c:pt idx="0">
                  <c:v>Odisha Srtc</c:v>
                </c:pt>
                <c:pt idx="1">
                  <c:v>Pepsu Rtc</c:v>
                </c:pt>
                <c:pt idx="2">
                  <c:v>Punbus</c:v>
                </c:pt>
                <c:pt idx="3">
                  <c:v>Rajasthan Srtc</c:v>
                </c:pt>
              </c:strCache>
            </c:strRef>
          </c:cat>
          <c:val>
            <c:numRef>
              <c:f>Sheet2!$B$4:$B$8</c:f>
              <c:numCache>
                <c:formatCode>General</c:formatCode>
                <c:ptCount val="4"/>
                <c:pt idx="0">
                  <c:v>18.399999999999999</c:v>
                </c:pt>
                <c:pt idx="1">
                  <c:v>4.6900000000000004</c:v>
                </c:pt>
                <c:pt idx="2">
                  <c:v>9.14</c:v>
                </c:pt>
                <c:pt idx="3">
                  <c:v>20.14</c:v>
                </c:pt>
              </c:numCache>
            </c:numRef>
          </c:val>
          <c:extLst>
            <c:ext xmlns:c16="http://schemas.microsoft.com/office/drawing/2014/chart" uri="{C3380CC4-5D6E-409C-BE32-E72D297353CC}">
              <c16:uniqueId val="{00000003-ABFD-4E2B-BF2B-550A8D8E4401}"/>
            </c:ext>
          </c:extLst>
        </c:ser>
        <c:dLbls>
          <c:showLegendKey val="0"/>
          <c:showVal val="0"/>
          <c:showCatName val="0"/>
          <c:showSerName val="0"/>
          <c:showPercent val="0"/>
          <c:showBubbleSize val="0"/>
        </c:dLbls>
        <c:gapWidth val="115"/>
        <c:overlap val="-20"/>
        <c:axId val="815117552"/>
        <c:axId val="815125712"/>
      </c:barChart>
      <c:catAx>
        <c:axId val="815117552"/>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5125712"/>
        <c:crosses val="autoZero"/>
        <c:auto val="1"/>
        <c:lblAlgn val="ctr"/>
        <c:lblOffset val="100"/>
        <c:noMultiLvlLbl val="0"/>
      </c:catAx>
      <c:valAx>
        <c:axId val="815125712"/>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5117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524662618807526"/>
          <c:y val="3.3426183844011144E-2"/>
          <c:w val="0.85638825119612094"/>
          <c:h val="0.80948040269339594"/>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strRef>
              <c:f>Sheet3!$E$4:$E$62</c:f>
              <c:strCache>
                <c:ptCount val="59"/>
                <c:pt idx="0">
                  <c:v>Agra - Mathura City Tsl</c:v>
                </c:pt>
                <c:pt idx="1">
                  <c:v>Ahemdabad Janmarg Ltd</c:v>
                </c:pt>
                <c:pt idx="2">
                  <c:v>Ahmedabad Mtc</c:v>
                </c:pt>
                <c:pt idx="3">
                  <c:v>Andaman &amp; Nicobar St</c:v>
                </c:pt>
                <c:pt idx="4">
                  <c:v>Andhra Pradesh Srtc</c:v>
                </c:pt>
                <c:pt idx="5">
                  <c:v>Arunachal Pradesh St</c:v>
                </c:pt>
                <c:pt idx="6">
                  <c:v>Assam Stc</c:v>
                </c:pt>
                <c:pt idx="7">
                  <c:v>Bangalore Metropolitan Tc</c:v>
                </c:pt>
                <c:pt idx="8">
                  <c:v>Best Undertaking</c:v>
                </c:pt>
                <c:pt idx="9">
                  <c:v>Bihar Srtc</c:v>
                </c:pt>
                <c:pt idx="10">
                  <c:v>Calcutta Stc</c:v>
                </c:pt>
                <c:pt idx="11">
                  <c:v>Chandigarh Tu</c:v>
                </c:pt>
                <c:pt idx="12">
                  <c:v>Delhi Integrated Mts</c:v>
                </c:pt>
                <c:pt idx="13">
                  <c:v>Delhi Tc</c:v>
                </c:pt>
                <c:pt idx="14">
                  <c:v>Gujarat Srtc</c:v>
                </c:pt>
                <c:pt idx="15">
                  <c:v>Haryana St</c:v>
                </c:pt>
                <c:pt idx="16">
                  <c:v>Himachal Rtc</c:v>
                </c:pt>
                <c:pt idx="17">
                  <c:v>J &amp; K Srtc</c:v>
                </c:pt>
                <c:pt idx="18">
                  <c:v>Jaipur City Ts Ltd.</c:v>
                </c:pt>
                <c:pt idx="19">
                  <c:v>Kadamba Tc Ltd.</c:v>
                </c:pt>
                <c:pt idx="20">
                  <c:v>Kalyan Dombivali Mt</c:v>
                </c:pt>
                <c:pt idx="21">
                  <c:v>Kamataka Srtc</c:v>
                </c:pt>
                <c:pt idx="22">
                  <c:v>Kanpur City Tsl</c:v>
                </c:pt>
                <c:pt idx="23">
                  <c:v>Karnataka Srtc</c:v>
                </c:pt>
                <c:pt idx="24">
                  <c:v>Kerala Srtc</c:v>
                </c:pt>
                <c:pt idx="25">
                  <c:v>Kolhapur Mtu</c:v>
                </c:pt>
                <c:pt idx="26">
                  <c:v>Maharashtra Srtc</c:v>
                </c:pt>
                <c:pt idx="27">
                  <c:v>Meerut City Tsl</c:v>
                </c:pt>
                <c:pt idx="28">
                  <c:v>Meghalaya Stc</c:v>
                </c:pt>
                <c:pt idx="29">
                  <c:v>Metro Tc ( Chennai ) Limited</c:v>
                </c:pt>
                <c:pt idx="30">
                  <c:v>Mizoram St</c:v>
                </c:pt>
                <c:pt idx="31">
                  <c:v>Nagaland St</c:v>
                </c:pt>
                <c:pt idx="32">
                  <c:v>Navi Mumbai Mt</c:v>
                </c:pt>
                <c:pt idx="33">
                  <c:v>North Bengal Stc</c:v>
                </c:pt>
                <c:pt idx="34">
                  <c:v>North Eastern Karnataka Rtc</c:v>
                </c:pt>
                <c:pt idx="35">
                  <c:v>North Western Karnataka Rtc</c:v>
                </c:pt>
                <c:pt idx="36">
                  <c:v>Odisha Srtc</c:v>
                </c:pt>
                <c:pt idx="37">
                  <c:v>Pepsu Rtc</c:v>
                </c:pt>
                <c:pt idx="38">
                  <c:v>Puducherry Road Transport Corp</c:v>
                </c:pt>
                <c:pt idx="39">
                  <c:v>Punbus</c:v>
                </c:pt>
                <c:pt idx="40">
                  <c:v>Pune Mahamandal</c:v>
                </c:pt>
                <c:pt idx="41">
                  <c:v>Rajasthan Srtc</c:v>
                </c:pt>
                <c:pt idx="42">
                  <c:v>Sikkim Nt</c:v>
                </c:pt>
                <c:pt idx="43">
                  <c:v>Solapur Mt</c:v>
                </c:pt>
                <c:pt idx="44">
                  <c:v>South Bengal Stc</c:v>
                </c:pt>
                <c:pt idx="45">
                  <c:v>State Exp . Tc Tn Ltd.</c:v>
                </c:pt>
                <c:pt idx="46">
                  <c:v>State Transport Punjab</c:v>
                </c:pt>
                <c:pt idx="47">
                  <c:v>Telangana Srtc</c:v>
                </c:pt>
                <c:pt idx="48">
                  <c:v>Thane Mt</c:v>
                </c:pt>
                <c:pt idx="49">
                  <c:v>Tn Stc ( Coimbatore ) Ltd.</c:v>
                </c:pt>
                <c:pt idx="50">
                  <c:v>Tn Stc ( Kumbakonam ) Ltd.</c:v>
                </c:pt>
                <c:pt idx="51">
                  <c:v>Tn Stc ( Madurai ) Ltd.</c:v>
                </c:pt>
                <c:pt idx="52">
                  <c:v>Tn Stc ( Salem ) Ltd.</c:v>
                </c:pt>
                <c:pt idx="53">
                  <c:v>Tn Stc ( Tirunelvell ) Ltd.</c:v>
                </c:pt>
                <c:pt idx="54">
                  <c:v>Tn Stc ( Villupuram ) Ltd.</c:v>
                </c:pt>
                <c:pt idx="55">
                  <c:v>Tripura Rtc</c:v>
                </c:pt>
                <c:pt idx="56">
                  <c:v>Uttar Pradesh Srtc ( P )</c:v>
                </c:pt>
                <c:pt idx="57">
                  <c:v>Uttarakhand Tc</c:v>
                </c:pt>
                <c:pt idx="58">
                  <c:v>West Bengal Transport Corp.</c:v>
                </c:pt>
              </c:strCache>
            </c:strRef>
          </c:xVal>
          <c:yVal>
            <c:numRef>
              <c:f>Sheet3!$F$4:$F$62</c:f>
              <c:numCache>
                <c:formatCode>General</c:formatCode>
                <c:ptCount val="59"/>
                <c:pt idx="0">
                  <c:v>5.6499999999999995</c:v>
                </c:pt>
                <c:pt idx="1">
                  <c:v>2.2000000000000002</c:v>
                </c:pt>
                <c:pt idx="2">
                  <c:v>3.3075000000000001</c:v>
                </c:pt>
                <c:pt idx="3">
                  <c:v>3.6642857142857141</c:v>
                </c:pt>
                <c:pt idx="4">
                  <c:v>5.1916666666666664</c:v>
                </c:pt>
                <c:pt idx="5">
                  <c:v>3.3</c:v>
                </c:pt>
                <c:pt idx="6">
                  <c:v>3.7279999999999993</c:v>
                </c:pt>
                <c:pt idx="7">
                  <c:v>3.8990909090909098</c:v>
                </c:pt>
                <c:pt idx="8">
                  <c:v>2.83</c:v>
                </c:pt>
                <c:pt idx="9">
                  <c:v>4.3227272727272723</c:v>
                </c:pt>
                <c:pt idx="10">
                  <c:v>2.96</c:v>
                </c:pt>
                <c:pt idx="11">
                  <c:v>3.7809090909090912</c:v>
                </c:pt>
                <c:pt idx="12">
                  <c:v>0</c:v>
                </c:pt>
                <c:pt idx="13">
                  <c:v>2.6557142857142857</c:v>
                </c:pt>
                <c:pt idx="14">
                  <c:v>5.4588888888888896</c:v>
                </c:pt>
                <c:pt idx="15">
                  <c:v>4.776250000000001</c:v>
                </c:pt>
                <c:pt idx="16">
                  <c:v>3.6999999999999997</c:v>
                </c:pt>
                <c:pt idx="17">
                  <c:v>4.2700000000000005</c:v>
                </c:pt>
                <c:pt idx="18">
                  <c:v>2.9166666666666665</c:v>
                </c:pt>
                <c:pt idx="19">
                  <c:v>4.2662499999999994</c:v>
                </c:pt>
                <c:pt idx="20">
                  <c:v>3.1824999999999997</c:v>
                </c:pt>
                <c:pt idx="21">
                  <c:v>4.8025000000000002</c:v>
                </c:pt>
                <c:pt idx="22">
                  <c:v>0</c:v>
                </c:pt>
                <c:pt idx="23">
                  <c:v>4.8642857142857139</c:v>
                </c:pt>
                <c:pt idx="24">
                  <c:v>4.1333333333333337</c:v>
                </c:pt>
                <c:pt idx="25">
                  <c:v>3.8650000000000002</c:v>
                </c:pt>
                <c:pt idx="26">
                  <c:v>4.8136363636363635</c:v>
                </c:pt>
                <c:pt idx="27">
                  <c:v>4.34</c:v>
                </c:pt>
                <c:pt idx="28">
                  <c:v>4.5318181818181813</c:v>
                </c:pt>
                <c:pt idx="29">
                  <c:v>4.3954545454545455</c:v>
                </c:pt>
                <c:pt idx="30">
                  <c:v>3.2455555555555557</c:v>
                </c:pt>
                <c:pt idx="31">
                  <c:v>3.6139999999999999</c:v>
                </c:pt>
                <c:pt idx="32">
                  <c:v>3.0133333333333332</c:v>
                </c:pt>
                <c:pt idx="33">
                  <c:v>4.117</c:v>
                </c:pt>
                <c:pt idx="34">
                  <c:v>5.2236363636363636</c:v>
                </c:pt>
                <c:pt idx="35">
                  <c:v>5.1109999999999989</c:v>
                </c:pt>
                <c:pt idx="36">
                  <c:v>4.6355555555555563</c:v>
                </c:pt>
                <c:pt idx="37">
                  <c:v>4.6349999999999998</c:v>
                </c:pt>
                <c:pt idx="38">
                  <c:v>4.1399999999999997</c:v>
                </c:pt>
                <c:pt idx="39">
                  <c:v>4.3899999999999997</c:v>
                </c:pt>
                <c:pt idx="40">
                  <c:v>3.2945454545454549</c:v>
                </c:pt>
                <c:pt idx="41">
                  <c:v>5.0118181818181817</c:v>
                </c:pt>
                <c:pt idx="42">
                  <c:v>3.6914285714285713</c:v>
                </c:pt>
                <c:pt idx="43">
                  <c:v>4.75</c:v>
                </c:pt>
                <c:pt idx="44">
                  <c:v>4.1618181818181821</c:v>
                </c:pt>
                <c:pt idx="45">
                  <c:v>5.109</c:v>
                </c:pt>
                <c:pt idx="46">
                  <c:v>4.5216666666666665</c:v>
                </c:pt>
                <c:pt idx="47">
                  <c:v>5.1033333333333335</c:v>
                </c:pt>
                <c:pt idx="48">
                  <c:v>2.4500000000000002</c:v>
                </c:pt>
                <c:pt idx="49">
                  <c:v>4.7481818181818181</c:v>
                </c:pt>
                <c:pt idx="50">
                  <c:v>5.503636363636363</c:v>
                </c:pt>
                <c:pt idx="51">
                  <c:v>5.3827272727272728</c:v>
                </c:pt>
                <c:pt idx="52">
                  <c:v>5.500909090909091</c:v>
                </c:pt>
                <c:pt idx="53">
                  <c:v>5.17</c:v>
                </c:pt>
                <c:pt idx="54">
                  <c:v>5.5559999999999992</c:v>
                </c:pt>
                <c:pt idx="55">
                  <c:v>4.9950000000000001</c:v>
                </c:pt>
                <c:pt idx="56">
                  <c:v>5.226</c:v>
                </c:pt>
                <c:pt idx="57">
                  <c:v>4.7200000000000006</c:v>
                </c:pt>
                <c:pt idx="58">
                  <c:v>2.1124999999999998</c:v>
                </c:pt>
              </c:numCache>
            </c:numRef>
          </c:yVal>
          <c:smooth val="0"/>
          <c:extLst>
            <c:ext xmlns:c16="http://schemas.microsoft.com/office/drawing/2014/chart" uri="{C3380CC4-5D6E-409C-BE32-E72D297353CC}">
              <c16:uniqueId val="{00000000-4A8D-4F87-8BB8-B18947084BA2}"/>
            </c:ext>
          </c:extLst>
        </c:ser>
        <c:ser>
          <c:idx val="1"/>
          <c:order val="1"/>
          <c:spPr>
            <a:ln w="19050" cap="rnd">
              <a:noFill/>
              <a:round/>
            </a:ln>
            <a:effectLst/>
          </c:spPr>
          <c:marker>
            <c:symbol val="circle"/>
            <c:size val="5"/>
            <c:spPr>
              <a:solidFill>
                <a:schemeClr val="accent2"/>
              </a:solidFill>
              <a:ln w="9525">
                <a:solidFill>
                  <a:schemeClr val="accent2"/>
                </a:solidFill>
              </a:ln>
              <a:effectLst/>
            </c:spPr>
          </c:marker>
          <c:xVal>
            <c:strRef>
              <c:f>Sheet3!$E$4:$E$62</c:f>
              <c:strCache>
                <c:ptCount val="59"/>
                <c:pt idx="0">
                  <c:v>Agra - Mathura City Tsl</c:v>
                </c:pt>
                <c:pt idx="1">
                  <c:v>Ahemdabad Janmarg Ltd</c:v>
                </c:pt>
                <c:pt idx="2">
                  <c:v>Ahmedabad Mtc</c:v>
                </c:pt>
                <c:pt idx="3">
                  <c:v>Andaman &amp; Nicobar St</c:v>
                </c:pt>
                <c:pt idx="4">
                  <c:v>Andhra Pradesh Srtc</c:v>
                </c:pt>
                <c:pt idx="5">
                  <c:v>Arunachal Pradesh St</c:v>
                </c:pt>
                <c:pt idx="6">
                  <c:v>Assam Stc</c:v>
                </c:pt>
                <c:pt idx="7">
                  <c:v>Bangalore Metropolitan Tc</c:v>
                </c:pt>
                <c:pt idx="8">
                  <c:v>Best Undertaking</c:v>
                </c:pt>
                <c:pt idx="9">
                  <c:v>Bihar Srtc</c:v>
                </c:pt>
                <c:pt idx="10">
                  <c:v>Calcutta Stc</c:v>
                </c:pt>
                <c:pt idx="11">
                  <c:v>Chandigarh Tu</c:v>
                </c:pt>
                <c:pt idx="12">
                  <c:v>Delhi Integrated Mts</c:v>
                </c:pt>
                <c:pt idx="13">
                  <c:v>Delhi Tc</c:v>
                </c:pt>
                <c:pt idx="14">
                  <c:v>Gujarat Srtc</c:v>
                </c:pt>
                <c:pt idx="15">
                  <c:v>Haryana St</c:v>
                </c:pt>
                <c:pt idx="16">
                  <c:v>Himachal Rtc</c:v>
                </c:pt>
                <c:pt idx="17">
                  <c:v>J &amp; K Srtc</c:v>
                </c:pt>
                <c:pt idx="18">
                  <c:v>Jaipur City Ts Ltd.</c:v>
                </c:pt>
                <c:pt idx="19">
                  <c:v>Kadamba Tc Ltd.</c:v>
                </c:pt>
                <c:pt idx="20">
                  <c:v>Kalyan Dombivali Mt</c:v>
                </c:pt>
                <c:pt idx="21">
                  <c:v>Kamataka Srtc</c:v>
                </c:pt>
                <c:pt idx="22">
                  <c:v>Kanpur City Tsl</c:v>
                </c:pt>
                <c:pt idx="23">
                  <c:v>Karnataka Srtc</c:v>
                </c:pt>
                <c:pt idx="24">
                  <c:v>Kerala Srtc</c:v>
                </c:pt>
                <c:pt idx="25">
                  <c:v>Kolhapur Mtu</c:v>
                </c:pt>
                <c:pt idx="26">
                  <c:v>Maharashtra Srtc</c:v>
                </c:pt>
                <c:pt idx="27">
                  <c:v>Meerut City Tsl</c:v>
                </c:pt>
                <c:pt idx="28">
                  <c:v>Meghalaya Stc</c:v>
                </c:pt>
                <c:pt idx="29">
                  <c:v>Metro Tc ( Chennai ) Limited</c:v>
                </c:pt>
                <c:pt idx="30">
                  <c:v>Mizoram St</c:v>
                </c:pt>
                <c:pt idx="31">
                  <c:v>Nagaland St</c:v>
                </c:pt>
                <c:pt idx="32">
                  <c:v>Navi Mumbai Mt</c:v>
                </c:pt>
                <c:pt idx="33">
                  <c:v>North Bengal Stc</c:v>
                </c:pt>
                <c:pt idx="34">
                  <c:v>North Eastern Karnataka Rtc</c:v>
                </c:pt>
                <c:pt idx="35">
                  <c:v>North Western Karnataka Rtc</c:v>
                </c:pt>
                <c:pt idx="36">
                  <c:v>Odisha Srtc</c:v>
                </c:pt>
                <c:pt idx="37">
                  <c:v>Pepsu Rtc</c:v>
                </c:pt>
                <c:pt idx="38">
                  <c:v>Puducherry Road Transport Corp</c:v>
                </c:pt>
                <c:pt idx="39">
                  <c:v>Punbus</c:v>
                </c:pt>
                <c:pt idx="40">
                  <c:v>Pune Mahamandal</c:v>
                </c:pt>
                <c:pt idx="41">
                  <c:v>Rajasthan Srtc</c:v>
                </c:pt>
                <c:pt idx="42">
                  <c:v>Sikkim Nt</c:v>
                </c:pt>
                <c:pt idx="43">
                  <c:v>Solapur Mt</c:v>
                </c:pt>
                <c:pt idx="44">
                  <c:v>South Bengal Stc</c:v>
                </c:pt>
                <c:pt idx="45">
                  <c:v>State Exp . Tc Tn Ltd.</c:v>
                </c:pt>
                <c:pt idx="46">
                  <c:v>State Transport Punjab</c:v>
                </c:pt>
                <c:pt idx="47">
                  <c:v>Telangana Srtc</c:v>
                </c:pt>
                <c:pt idx="48">
                  <c:v>Thane Mt</c:v>
                </c:pt>
                <c:pt idx="49">
                  <c:v>Tn Stc ( Coimbatore ) Ltd.</c:v>
                </c:pt>
                <c:pt idx="50">
                  <c:v>Tn Stc ( Kumbakonam ) Ltd.</c:v>
                </c:pt>
                <c:pt idx="51">
                  <c:v>Tn Stc ( Madurai ) Ltd.</c:v>
                </c:pt>
                <c:pt idx="52">
                  <c:v>Tn Stc ( Salem ) Ltd.</c:v>
                </c:pt>
                <c:pt idx="53">
                  <c:v>Tn Stc ( Tirunelvell ) Ltd.</c:v>
                </c:pt>
                <c:pt idx="54">
                  <c:v>Tn Stc ( Villupuram ) Ltd.</c:v>
                </c:pt>
                <c:pt idx="55">
                  <c:v>Tripura Rtc</c:v>
                </c:pt>
                <c:pt idx="56">
                  <c:v>Uttar Pradesh Srtc ( P )</c:v>
                </c:pt>
                <c:pt idx="57">
                  <c:v>Uttarakhand Tc</c:v>
                </c:pt>
                <c:pt idx="58">
                  <c:v>West Bengal Transport Corp.</c:v>
                </c:pt>
              </c:strCache>
            </c:strRef>
          </c:xVal>
          <c:yVal>
            <c:numRef>
              <c:f>Sheet3!$G$4:$G$62</c:f>
              <c:numCache>
                <c:formatCode>General</c:formatCode>
                <c:ptCount val="59"/>
                <c:pt idx="0">
                  <c:v>9</c:v>
                </c:pt>
                <c:pt idx="1">
                  <c:v>6</c:v>
                </c:pt>
                <c:pt idx="2">
                  <c:v>6.9774999999999991</c:v>
                </c:pt>
                <c:pt idx="3">
                  <c:v>8.0428571428571427</c:v>
                </c:pt>
                <c:pt idx="4">
                  <c:v>5.88</c:v>
                </c:pt>
                <c:pt idx="5">
                  <c:v>8</c:v>
                </c:pt>
                <c:pt idx="6">
                  <c:v>4.9340000000000002</c:v>
                </c:pt>
                <c:pt idx="7">
                  <c:v>5.5527272727272736</c:v>
                </c:pt>
                <c:pt idx="8">
                  <c:v>7.6199999999999992</c:v>
                </c:pt>
                <c:pt idx="9">
                  <c:v>11.218181818181817</c:v>
                </c:pt>
                <c:pt idx="10">
                  <c:v>5.1775000000000002</c:v>
                </c:pt>
                <c:pt idx="11">
                  <c:v>5.504545454545454</c:v>
                </c:pt>
                <c:pt idx="12">
                  <c:v>0</c:v>
                </c:pt>
                <c:pt idx="13">
                  <c:v>5.5285714285714294</c:v>
                </c:pt>
                <c:pt idx="14">
                  <c:v>5.3244444444444445</c:v>
                </c:pt>
                <c:pt idx="15">
                  <c:v>4.4700000000000006</c:v>
                </c:pt>
                <c:pt idx="16">
                  <c:v>4.9866666666666664</c:v>
                </c:pt>
                <c:pt idx="17">
                  <c:v>9.95857142857143</c:v>
                </c:pt>
                <c:pt idx="18">
                  <c:v>5.59</c:v>
                </c:pt>
                <c:pt idx="19">
                  <c:v>5.4012499999999992</c:v>
                </c:pt>
                <c:pt idx="20">
                  <c:v>3.9799999999999995</c:v>
                </c:pt>
                <c:pt idx="21">
                  <c:v>4.1425000000000001</c:v>
                </c:pt>
                <c:pt idx="22">
                  <c:v>6</c:v>
                </c:pt>
                <c:pt idx="23">
                  <c:v>4.2142857142857144</c:v>
                </c:pt>
                <c:pt idx="24">
                  <c:v>6.5783333333333331</c:v>
                </c:pt>
                <c:pt idx="25">
                  <c:v>6.6899999999999995</c:v>
                </c:pt>
                <c:pt idx="26">
                  <c:v>4.8554545454545455</c:v>
                </c:pt>
                <c:pt idx="27">
                  <c:v>7.5</c:v>
                </c:pt>
                <c:pt idx="28">
                  <c:v>6.9645454545454548</c:v>
                </c:pt>
                <c:pt idx="29">
                  <c:v>5.4890909090909092</c:v>
                </c:pt>
                <c:pt idx="30">
                  <c:v>6.7777777777777777</c:v>
                </c:pt>
                <c:pt idx="31">
                  <c:v>6.4530000000000003</c:v>
                </c:pt>
                <c:pt idx="32">
                  <c:v>4.9133333333333331</c:v>
                </c:pt>
                <c:pt idx="33">
                  <c:v>7.1599999999999993</c:v>
                </c:pt>
                <c:pt idx="34">
                  <c:v>5.1318181818181818</c:v>
                </c:pt>
                <c:pt idx="35">
                  <c:v>5.8760000000000003</c:v>
                </c:pt>
                <c:pt idx="36">
                  <c:v>5.9811111111111108</c:v>
                </c:pt>
                <c:pt idx="37">
                  <c:v>8</c:v>
                </c:pt>
                <c:pt idx="38">
                  <c:v>7</c:v>
                </c:pt>
                <c:pt idx="39">
                  <c:v>7</c:v>
                </c:pt>
                <c:pt idx="40">
                  <c:v>7.6909090909090914</c:v>
                </c:pt>
                <c:pt idx="41">
                  <c:v>4.7827272727272723</c:v>
                </c:pt>
                <c:pt idx="42">
                  <c:v>7.5485714285714289</c:v>
                </c:pt>
                <c:pt idx="43">
                  <c:v>7.5</c:v>
                </c:pt>
                <c:pt idx="44">
                  <c:v>6.1536363636363633</c:v>
                </c:pt>
                <c:pt idx="45">
                  <c:v>4.5220000000000002</c:v>
                </c:pt>
                <c:pt idx="46">
                  <c:v>7</c:v>
                </c:pt>
                <c:pt idx="47">
                  <c:v>6.4466666666666663</c:v>
                </c:pt>
                <c:pt idx="48">
                  <c:v>4.8499999999999996</c:v>
                </c:pt>
                <c:pt idx="49">
                  <c:v>5.9209090909090918</c:v>
                </c:pt>
                <c:pt idx="50">
                  <c:v>5.7981818181818179</c:v>
                </c:pt>
                <c:pt idx="51">
                  <c:v>5.4827272727272733</c:v>
                </c:pt>
                <c:pt idx="52">
                  <c:v>6.0645454545454553</c:v>
                </c:pt>
                <c:pt idx="53">
                  <c:v>6.6274999999999995</c:v>
                </c:pt>
                <c:pt idx="54">
                  <c:v>5.6080000000000005</c:v>
                </c:pt>
                <c:pt idx="55">
                  <c:v>6.0666666666666673</c:v>
                </c:pt>
                <c:pt idx="56">
                  <c:v>5.0460000000000003</c:v>
                </c:pt>
                <c:pt idx="57">
                  <c:v>5.5</c:v>
                </c:pt>
                <c:pt idx="58">
                  <c:v>4.9749999999999996</c:v>
                </c:pt>
              </c:numCache>
            </c:numRef>
          </c:yVal>
          <c:smooth val="0"/>
          <c:extLst>
            <c:ext xmlns:c16="http://schemas.microsoft.com/office/drawing/2014/chart" uri="{C3380CC4-5D6E-409C-BE32-E72D297353CC}">
              <c16:uniqueId val="{00000001-4A8D-4F87-8BB8-B18947084BA2}"/>
            </c:ext>
          </c:extLst>
        </c:ser>
        <c:dLbls>
          <c:showLegendKey val="0"/>
          <c:showVal val="0"/>
          <c:showCatName val="0"/>
          <c:showSerName val="0"/>
          <c:showPercent val="0"/>
          <c:showBubbleSize val="0"/>
        </c:dLbls>
        <c:axId val="1616642736"/>
        <c:axId val="1616637456"/>
      </c:scatterChart>
      <c:valAx>
        <c:axId val="1616642736"/>
        <c:scaling>
          <c:orientation val="minMax"/>
        </c:scaling>
        <c:delete val="0"/>
        <c:axPos val="b"/>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6637456"/>
        <c:crosses val="autoZero"/>
        <c:crossBetween val="midCat"/>
      </c:valAx>
      <c:valAx>
        <c:axId val="1616637456"/>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66427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7980504480536676E-2"/>
          <c:y val="7.7994428969359333E-2"/>
          <c:w val="0.85638825119612094"/>
          <c:h val="0.80948040269339594"/>
        </c:manualLayout>
      </c:layout>
      <c:scatterChart>
        <c:scatterStyle val="lineMarker"/>
        <c:varyColors val="0"/>
        <c:ser>
          <c:idx val="0"/>
          <c:order val="0"/>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strRef>
              <c:f>Sheet3!$E$4:$E$62</c:f>
              <c:strCache>
                <c:ptCount val="59"/>
                <c:pt idx="0">
                  <c:v>Agra - Mathura City Tsl</c:v>
                </c:pt>
                <c:pt idx="1">
                  <c:v>Ahemdabad Janmarg Ltd</c:v>
                </c:pt>
                <c:pt idx="2">
                  <c:v>Ahmedabad Mtc</c:v>
                </c:pt>
                <c:pt idx="3">
                  <c:v>Andaman &amp; Nicobar St</c:v>
                </c:pt>
                <c:pt idx="4">
                  <c:v>Andhra Pradesh Srtc</c:v>
                </c:pt>
                <c:pt idx="5">
                  <c:v>Arunachal Pradesh St</c:v>
                </c:pt>
                <c:pt idx="6">
                  <c:v>Assam Stc</c:v>
                </c:pt>
                <c:pt idx="7">
                  <c:v>Bangalore Metropolitan Tc</c:v>
                </c:pt>
                <c:pt idx="8">
                  <c:v>Best Undertaking</c:v>
                </c:pt>
                <c:pt idx="9">
                  <c:v>Bihar Srtc</c:v>
                </c:pt>
                <c:pt idx="10">
                  <c:v>Calcutta Stc</c:v>
                </c:pt>
                <c:pt idx="11">
                  <c:v>Chandigarh Tu</c:v>
                </c:pt>
                <c:pt idx="12">
                  <c:v>Delhi Integrated Mts</c:v>
                </c:pt>
                <c:pt idx="13">
                  <c:v>Delhi Tc</c:v>
                </c:pt>
                <c:pt idx="14">
                  <c:v>Gujarat Srtc</c:v>
                </c:pt>
                <c:pt idx="15">
                  <c:v>Haryana St</c:v>
                </c:pt>
                <c:pt idx="16">
                  <c:v>Himachal Rtc</c:v>
                </c:pt>
                <c:pt idx="17">
                  <c:v>J &amp; K Srtc</c:v>
                </c:pt>
                <c:pt idx="18">
                  <c:v>Jaipur City Ts Ltd.</c:v>
                </c:pt>
                <c:pt idx="19">
                  <c:v>Kadamba Tc Ltd.</c:v>
                </c:pt>
                <c:pt idx="20">
                  <c:v>Kalyan Dombivali Mt</c:v>
                </c:pt>
                <c:pt idx="21">
                  <c:v>Kamataka Srtc</c:v>
                </c:pt>
                <c:pt idx="22">
                  <c:v>Kanpur City Tsl</c:v>
                </c:pt>
                <c:pt idx="23">
                  <c:v>Karnataka Srtc</c:v>
                </c:pt>
                <c:pt idx="24">
                  <c:v>Kerala Srtc</c:v>
                </c:pt>
                <c:pt idx="25">
                  <c:v>Kolhapur Mtu</c:v>
                </c:pt>
                <c:pt idx="26">
                  <c:v>Maharashtra Srtc</c:v>
                </c:pt>
                <c:pt idx="27">
                  <c:v>Meerut City Tsl</c:v>
                </c:pt>
                <c:pt idx="28">
                  <c:v>Meghalaya Stc</c:v>
                </c:pt>
                <c:pt idx="29">
                  <c:v>Metro Tc ( Chennai ) Limited</c:v>
                </c:pt>
                <c:pt idx="30">
                  <c:v>Mizoram St</c:v>
                </c:pt>
                <c:pt idx="31">
                  <c:v>Nagaland St</c:v>
                </c:pt>
                <c:pt idx="32">
                  <c:v>Navi Mumbai Mt</c:v>
                </c:pt>
                <c:pt idx="33">
                  <c:v>North Bengal Stc</c:v>
                </c:pt>
                <c:pt idx="34">
                  <c:v>North Eastern Karnataka Rtc</c:v>
                </c:pt>
                <c:pt idx="35">
                  <c:v>North Western Karnataka Rtc</c:v>
                </c:pt>
                <c:pt idx="36">
                  <c:v>Odisha Srtc</c:v>
                </c:pt>
                <c:pt idx="37">
                  <c:v>Pepsu Rtc</c:v>
                </c:pt>
                <c:pt idx="38">
                  <c:v>Puducherry Road Transport Corp</c:v>
                </c:pt>
                <c:pt idx="39">
                  <c:v>Punbus</c:v>
                </c:pt>
                <c:pt idx="40">
                  <c:v>Pune Mahamandal</c:v>
                </c:pt>
                <c:pt idx="41">
                  <c:v>Rajasthan Srtc</c:v>
                </c:pt>
                <c:pt idx="42">
                  <c:v>Sikkim Nt</c:v>
                </c:pt>
                <c:pt idx="43">
                  <c:v>Solapur Mt</c:v>
                </c:pt>
                <c:pt idx="44">
                  <c:v>South Bengal Stc</c:v>
                </c:pt>
                <c:pt idx="45">
                  <c:v>State Exp . Tc Tn Ltd.</c:v>
                </c:pt>
                <c:pt idx="46">
                  <c:v>State Transport Punjab</c:v>
                </c:pt>
                <c:pt idx="47">
                  <c:v>Telangana Srtc</c:v>
                </c:pt>
                <c:pt idx="48">
                  <c:v>Thane Mt</c:v>
                </c:pt>
                <c:pt idx="49">
                  <c:v>Tn Stc ( Coimbatore ) Ltd.</c:v>
                </c:pt>
                <c:pt idx="50">
                  <c:v>Tn Stc ( Kumbakonam ) Ltd.</c:v>
                </c:pt>
                <c:pt idx="51">
                  <c:v>Tn Stc ( Madurai ) Ltd.</c:v>
                </c:pt>
                <c:pt idx="52">
                  <c:v>Tn Stc ( Salem ) Ltd.</c:v>
                </c:pt>
                <c:pt idx="53">
                  <c:v>Tn Stc ( Tirunelvell ) Ltd.</c:v>
                </c:pt>
                <c:pt idx="54">
                  <c:v>Tn Stc ( Villupuram ) Ltd.</c:v>
                </c:pt>
                <c:pt idx="55">
                  <c:v>Tripura Rtc</c:v>
                </c:pt>
                <c:pt idx="56">
                  <c:v>Uttar Pradesh Srtc ( P )</c:v>
                </c:pt>
                <c:pt idx="57">
                  <c:v>Uttarakhand Tc</c:v>
                </c:pt>
                <c:pt idx="58">
                  <c:v>West Bengal Transport Corp.</c:v>
                </c:pt>
              </c:strCache>
            </c:strRef>
          </c:xVal>
          <c:yVal>
            <c:numRef>
              <c:f>Sheet3!$F$4:$F$62</c:f>
              <c:numCache>
                <c:formatCode>General</c:formatCode>
                <c:ptCount val="59"/>
                <c:pt idx="0">
                  <c:v>5.6499999999999995</c:v>
                </c:pt>
                <c:pt idx="1">
                  <c:v>2.2000000000000002</c:v>
                </c:pt>
                <c:pt idx="2">
                  <c:v>3.3075000000000001</c:v>
                </c:pt>
                <c:pt idx="3">
                  <c:v>3.6642857142857141</c:v>
                </c:pt>
                <c:pt idx="4">
                  <c:v>5.1916666666666664</c:v>
                </c:pt>
                <c:pt idx="5">
                  <c:v>3.3</c:v>
                </c:pt>
                <c:pt idx="6">
                  <c:v>3.7279999999999993</c:v>
                </c:pt>
                <c:pt idx="7">
                  <c:v>3.8990909090909098</c:v>
                </c:pt>
                <c:pt idx="8">
                  <c:v>2.83</c:v>
                </c:pt>
                <c:pt idx="9">
                  <c:v>4.3227272727272723</c:v>
                </c:pt>
                <c:pt idx="10">
                  <c:v>2.96</c:v>
                </c:pt>
                <c:pt idx="11">
                  <c:v>3.7809090909090912</c:v>
                </c:pt>
                <c:pt idx="12">
                  <c:v>0</c:v>
                </c:pt>
                <c:pt idx="13">
                  <c:v>2.6557142857142857</c:v>
                </c:pt>
                <c:pt idx="14">
                  <c:v>5.4588888888888896</c:v>
                </c:pt>
                <c:pt idx="15">
                  <c:v>4.776250000000001</c:v>
                </c:pt>
                <c:pt idx="16">
                  <c:v>3.6999999999999997</c:v>
                </c:pt>
                <c:pt idx="17">
                  <c:v>4.2700000000000005</c:v>
                </c:pt>
                <c:pt idx="18">
                  <c:v>2.9166666666666665</c:v>
                </c:pt>
                <c:pt idx="19">
                  <c:v>4.2662499999999994</c:v>
                </c:pt>
                <c:pt idx="20">
                  <c:v>3.1824999999999997</c:v>
                </c:pt>
                <c:pt idx="21">
                  <c:v>4.8025000000000002</c:v>
                </c:pt>
                <c:pt idx="22">
                  <c:v>0</c:v>
                </c:pt>
                <c:pt idx="23">
                  <c:v>4.8642857142857139</c:v>
                </c:pt>
                <c:pt idx="24">
                  <c:v>4.1333333333333337</c:v>
                </c:pt>
                <c:pt idx="25">
                  <c:v>3.8650000000000002</c:v>
                </c:pt>
                <c:pt idx="26">
                  <c:v>4.8136363636363635</c:v>
                </c:pt>
                <c:pt idx="27">
                  <c:v>4.34</c:v>
                </c:pt>
                <c:pt idx="28">
                  <c:v>4.5318181818181813</c:v>
                </c:pt>
                <c:pt idx="29">
                  <c:v>4.3954545454545455</c:v>
                </c:pt>
                <c:pt idx="30">
                  <c:v>3.2455555555555557</c:v>
                </c:pt>
                <c:pt idx="31">
                  <c:v>3.6139999999999999</c:v>
                </c:pt>
                <c:pt idx="32">
                  <c:v>3.0133333333333332</c:v>
                </c:pt>
                <c:pt idx="33">
                  <c:v>4.117</c:v>
                </c:pt>
                <c:pt idx="34">
                  <c:v>5.2236363636363636</c:v>
                </c:pt>
                <c:pt idx="35">
                  <c:v>5.1109999999999989</c:v>
                </c:pt>
                <c:pt idx="36">
                  <c:v>4.6355555555555563</c:v>
                </c:pt>
                <c:pt idx="37">
                  <c:v>4.6349999999999998</c:v>
                </c:pt>
                <c:pt idx="38">
                  <c:v>4.1399999999999997</c:v>
                </c:pt>
                <c:pt idx="39">
                  <c:v>4.3899999999999997</c:v>
                </c:pt>
                <c:pt idx="40">
                  <c:v>3.2945454545454549</c:v>
                </c:pt>
                <c:pt idx="41">
                  <c:v>5.0118181818181817</c:v>
                </c:pt>
                <c:pt idx="42">
                  <c:v>3.6914285714285713</c:v>
                </c:pt>
                <c:pt idx="43">
                  <c:v>4.75</c:v>
                </c:pt>
                <c:pt idx="44">
                  <c:v>4.1618181818181821</c:v>
                </c:pt>
                <c:pt idx="45">
                  <c:v>5.109</c:v>
                </c:pt>
                <c:pt idx="46">
                  <c:v>4.5216666666666665</c:v>
                </c:pt>
                <c:pt idx="47">
                  <c:v>5.1033333333333335</c:v>
                </c:pt>
                <c:pt idx="48">
                  <c:v>2.4500000000000002</c:v>
                </c:pt>
                <c:pt idx="49">
                  <c:v>4.7481818181818181</c:v>
                </c:pt>
                <c:pt idx="50">
                  <c:v>5.503636363636363</c:v>
                </c:pt>
                <c:pt idx="51">
                  <c:v>5.3827272727272728</c:v>
                </c:pt>
                <c:pt idx="52">
                  <c:v>5.500909090909091</c:v>
                </c:pt>
                <c:pt idx="53">
                  <c:v>5.17</c:v>
                </c:pt>
                <c:pt idx="54">
                  <c:v>5.5559999999999992</c:v>
                </c:pt>
                <c:pt idx="55">
                  <c:v>4.9950000000000001</c:v>
                </c:pt>
                <c:pt idx="56">
                  <c:v>5.226</c:v>
                </c:pt>
                <c:pt idx="57">
                  <c:v>4.7200000000000006</c:v>
                </c:pt>
                <c:pt idx="58">
                  <c:v>2.1124999999999998</c:v>
                </c:pt>
              </c:numCache>
            </c:numRef>
          </c:yVal>
          <c:smooth val="0"/>
          <c:extLst>
            <c:ext xmlns:c16="http://schemas.microsoft.com/office/drawing/2014/chart" uri="{C3380CC4-5D6E-409C-BE32-E72D297353CC}">
              <c16:uniqueId val="{00000000-BB5E-48C3-8BC0-26ADC15214C7}"/>
            </c:ext>
          </c:extLst>
        </c:ser>
        <c:ser>
          <c:idx val="1"/>
          <c:order val="1"/>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c:spPr>
          </c:marker>
          <c:xVal>
            <c:strRef>
              <c:f>Sheet3!$E$4:$E$62</c:f>
              <c:strCache>
                <c:ptCount val="59"/>
                <c:pt idx="0">
                  <c:v>Agra - Mathura City Tsl</c:v>
                </c:pt>
                <c:pt idx="1">
                  <c:v>Ahemdabad Janmarg Ltd</c:v>
                </c:pt>
                <c:pt idx="2">
                  <c:v>Ahmedabad Mtc</c:v>
                </c:pt>
                <c:pt idx="3">
                  <c:v>Andaman &amp; Nicobar St</c:v>
                </c:pt>
                <c:pt idx="4">
                  <c:v>Andhra Pradesh Srtc</c:v>
                </c:pt>
                <c:pt idx="5">
                  <c:v>Arunachal Pradesh St</c:v>
                </c:pt>
                <c:pt idx="6">
                  <c:v>Assam Stc</c:v>
                </c:pt>
                <c:pt idx="7">
                  <c:v>Bangalore Metropolitan Tc</c:v>
                </c:pt>
                <c:pt idx="8">
                  <c:v>Best Undertaking</c:v>
                </c:pt>
                <c:pt idx="9">
                  <c:v>Bihar Srtc</c:v>
                </c:pt>
                <c:pt idx="10">
                  <c:v>Calcutta Stc</c:v>
                </c:pt>
                <c:pt idx="11">
                  <c:v>Chandigarh Tu</c:v>
                </c:pt>
                <c:pt idx="12">
                  <c:v>Delhi Integrated Mts</c:v>
                </c:pt>
                <c:pt idx="13">
                  <c:v>Delhi Tc</c:v>
                </c:pt>
                <c:pt idx="14">
                  <c:v>Gujarat Srtc</c:v>
                </c:pt>
                <c:pt idx="15">
                  <c:v>Haryana St</c:v>
                </c:pt>
                <c:pt idx="16">
                  <c:v>Himachal Rtc</c:v>
                </c:pt>
                <c:pt idx="17">
                  <c:v>J &amp; K Srtc</c:v>
                </c:pt>
                <c:pt idx="18">
                  <c:v>Jaipur City Ts Ltd.</c:v>
                </c:pt>
                <c:pt idx="19">
                  <c:v>Kadamba Tc Ltd.</c:v>
                </c:pt>
                <c:pt idx="20">
                  <c:v>Kalyan Dombivali Mt</c:v>
                </c:pt>
                <c:pt idx="21">
                  <c:v>Kamataka Srtc</c:v>
                </c:pt>
                <c:pt idx="22">
                  <c:v>Kanpur City Tsl</c:v>
                </c:pt>
                <c:pt idx="23">
                  <c:v>Karnataka Srtc</c:v>
                </c:pt>
                <c:pt idx="24">
                  <c:v>Kerala Srtc</c:v>
                </c:pt>
                <c:pt idx="25">
                  <c:v>Kolhapur Mtu</c:v>
                </c:pt>
                <c:pt idx="26">
                  <c:v>Maharashtra Srtc</c:v>
                </c:pt>
                <c:pt idx="27">
                  <c:v>Meerut City Tsl</c:v>
                </c:pt>
                <c:pt idx="28">
                  <c:v>Meghalaya Stc</c:v>
                </c:pt>
                <c:pt idx="29">
                  <c:v>Metro Tc ( Chennai ) Limited</c:v>
                </c:pt>
                <c:pt idx="30">
                  <c:v>Mizoram St</c:v>
                </c:pt>
                <c:pt idx="31">
                  <c:v>Nagaland St</c:v>
                </c:pt>
                <c:pt idx="32">
                  <c:v>Navi Mumbai Mt</c:v>
                </c:pt>
                <c:pt idx="33">
                  <c:v>North Bengal Stc</c:v>
                </c:pt>
                <c:pt idx="34">
                  <c:v>North Eastern Karnataka Rtc</c:v>
                </c:pt>
                <c:pt idx="35">
                  <c:v>North Western Karnataka Rtc</c:v>
                </c:pt>
                <c:pt idx="36">
                  <c:v>Odisha Srtc</c:v>
                </c:pt>
                <c:pt idx="37">
                  <c:v>Pepsu Rtc</c:v>
                </c:pt>
                <c:pt idx="38">
                  <c:v>Puducherry Road Transport Corp</c:v>
                </c:pt>
                <c:pt idx="39">
                  <c:v>Punbus</c:v>
                </c:pt>
                <c:pt idx="40">
                  <c:v>Pune Mahamandal</c:v>
                </c:pt>
                <c:pt idx="41">
                  <c:v>Rajasthan Srtc</c:v>
                </c:pt>
                <c:pt idx="42">
                  <c:v>Sikkim Nt</c:v>
                </c:pt>
                <c:pt idx="43">
                  <c:v>Solapur Mt</c:v>
                </c:pt>
                <c:pt idx="44">
                  <c:v>South Bengal Stc</c:v>
                </c:pt>
                <c:pt idx="45">
                  <c:v>State Exp . Tc Tn Ltd.</c:v>
                </c:pt>
                <c:pt idx="46">
                  <c:v>State Transport Punjab</c:v>
                </c:pt>
                <c:pt idx="47">
                  <c:v>Telangana Srtc</c:v>
                </c:pt>
                <c:pt idx="48">
                  <c:v>Thane Mt</c:v>
                </c:pt>
                <c:pt idx="49">
                  <c:v>Tn Stc ( Coimbatore ) Ltd.</c:v>
                </c:pt>
                <c:pt idx="50">
                  <c:v>Tn Stc ( Kumbakonam ) Ltd.</c:v>
                </c:pt>
                <c:pt idx="51">
                  <c:v>Tn Stc ( Madurai ) Ltd.</c:v>
                </c:pt>
                <c:pt idx="52">
                  <c:v>Tn Stc ( Salem ) Ltd.</c:v>
                </c:pt>
                <c:pt idx="53">
                  <c:v>Tn Stc ( Tirunelvell ) Ltd.</c:v>
                </c:pt>
                <c:pt idx="54">
                  <c:v>Tn Stc ( Villupuram ) Ltd.</c:v>
                </c:pt>
                <c:pt idx="55">
                  <c:v>Tripura Rtc</c:v>
                </c:pt>
                <c:pt idx="56">
                  <c:v>Uttar Pradesh Srtc ( P )</c:v>
                </c:pt>
                <c:pt idx="57">
                  <c:v>Uttarakhand Tc</c:v>
                </c:pt>
                <c:pt idx="58">
                  <c:v>West Bengal Transport Corp.</c:v>
                </c:pt>
              </c:strCache>
            </c:strRef>
          </c:xVal>
          <c:yVal>
            <c:numRef>
              <c:f>Sheet3!$G$4:$G$62</c:f>
              <c:numCache>
                <c:formatCode>General</c:formatCode>
                <c:ptCount val="59"/>
                <c:pt idx="0">
                  <c:v>9</c:v>
                </c:pt>
                <c:pt idx="1">
                  <c:v>6</c:v>
                </c:pt>
                <c:pt idx="2">
                  <c:v>6.9774999999999991</c:v>
                </c:pt>
                <c:pt idx="3">
                  <c:v>8.0428571428571427</c:v>
                </c:pt>
                <c:pt idx="4">
                  <c:v>5.88</c:v>
                </c:pt>
                <c:pt idx="5">
                  <c:v>8</c:v>
                </c:pt>
                <c:pt idx="6">
                  <c:v>4.9340000000000002</c:v>
                </c:pt>
                <c:pt idx="7">
                  <c:v>5.5527272727272736</c:v>
                </c:pt>
                <c:pt idx="8">
                  <c:v>7.6199999999999992</c:v>
                </c:pt>
                <c:pt idx="9">
                  <c:v>11.218181818181817</c:v>
                </c:pt>
                <c:pt idx="10">
                  <c:v>5.1775000000000002</c:v>
                </c:pt>
                <c:pt idx="11">
                  <c:v>5.504545454545454</c:v>
                </c:pt>
                <c:pt idx="12">
                  <c:v>0</c:v>
                </c:pt>
                <c:pt idx="13">
                  <c:v>5.5285714285714294</c:v>
                </c:pt>
                <c:pt idx="14">
                  <c:v>5.3244444444444445</c:v>
                </c:pt>
                <c:pt idx="15">
                  <c:v>4.4700000000000006</c:v>
                </c:pt>
                <c:pt idx="16">
                  <c:v>4.9866666666666664</c:v>
                </c:pt>
                <c:pt idx="17">
                  <c:v>9.95857142857143</c:v>
                </c:pt>
                <c:pt idx="18">
                  <c:v>5.59</c:v>
                </c:pt>
                <c:pt idx="19">
                  <c:v>5.4012499999999992</c:v>
                </c:pt>
                <c:pt idx="20">
                  <c:v>3.9799999999999995</c:v>
                </c:pt>
                <c:pt idx="21">
                  <c:v>4.1425000000000001</c:v>
                </c:pt>
                <c:pt idx="22">
                  <c:v>6</c:v>
                </c:pt>
                <c:pt idx="23">
                  <c:v>4.2142857142857144</c:v>
                </c:pt>
                <c:pt idx="24">
                  <c:v>6.5783333333333331</c:v>
                </c:pt>
                <c:pt idx="25">
                  <c:v>6.6899999999999995</c:v>
                </c:pt>
                <c:pt idx="26">
                  <c:v>4.8554545454545455</c:v>
                </c:pt>
                <c:pt idx="27">
                  <c:v>7.5</c:v>
                </c:pt>
                <c:pt idx="28">
                  <c:v>6.9645454545454548</c:v>
                </c:pt>
                <c:pt idx="29">
                  <c:v>5.4890909090909092</c:v>
                </c:pt>
                <c:pt idx="30">
                  <c:v>6.7777777777777777</c:v>
                </c:pt>
                <c:pt idx="31">
                  <c:v>6.4530000000000003</c:v>
                </c:pt>
                <c:pt idx="32">
                  <c:v>4.9133333333333331</c:v>
                </c:pt>
                <c:pt idx="33">
                  <c:v>7.1599999999999993</c:v>
                </c:pt>
                <c:pt idx="34">
                  <c:v>5.1318181818181818</c:v>
                </c:pt>
                <c:pt idx="35">
                  <c:v>5.8760000000000003</c:v>
                </c:pt>
                <c:pt idx="36">
                  <c:v>5.9811111111111108</c:v>
                </c:pt>
                <c:pt idx="37">
                  <c:v>8</c:v>
                </c:pt>
                <c:pt idx="38">
                  <c:v>7</c:v>
                </c:pt>
                <c:pt idx="39">
                  <c:v>7</c:v>
                </c:pt>
                <c:pt idx="40">
                  <c:v>7.6909090909090914</c:v>
                </c:pt>
                <c:pt idx="41">
                  <c:v>4.7827272727272723</c:v>
                </c:pt>
                <c:pt idx="42">
                  <c:v>7.5485714285714289</c:v>
                </c:pt>
                <c:pt idx="43">
                  <c:v>7.5</c:v>
                </c:pt>
                <c:pt idx="44">
                  <c:v>6.1536363636363633</c:v>
                </c:pt>
                <c:pt idx="45">
                  <c:v>4.5220000000000002</c:v>
                </c:pt>
                <c:pt idx="46">
                  <c:v>7</c:v>
                </c:pt>
                <c:pt idx="47">
                  <c:v>6.4466666666666663</c:v>
                </c:pt>
                <c:pt idx="48">
                  <c:v>4.8499999999999996</c:v>
                </c:pt>
                <c:pt idx="49">
                  <c:v>5.9209090909090918</c:v>
                </c:pt>
                <c:pt idx="50">
                  <c:v>5.7981818181818179</c:v>
                </c:pt>
                <c:pt idx="51">
                  <c:v>5.4827272727272733</c:v>
                </c:pt>
                <c:pt idx="52">
                  <c:v>6.0645454545454553</c:v>
                </c:pt>
                <c:pt idx="53">
                  <c:v>6.6274999999999995</c:v>
                </c:pt>
                <c:pt idx="54">
                  <c:v>5.6080000000000005</c:v>
                </c:pt>
                <c:pt idx="55">
                  <c:v>6.0666666666666673</c:v>
                </c:pt>
                <c:pt idx="56">
                  <c:v>5.0460000000000003</c:v>
                </c:pt>
                <c:pt idx="57">
                  <c:v>5.5</c:v>
                </c:pt>
                <c:pt idx="58">
                  <c:v>4.9749999999999996</c:v>
                </c:pt>
              </c:numCache>
            </c:numRef>
          </c:yVal>
          <c:smooth val="0"/>
          <c:extLst>
            <c:ext xmlns:c16="http://schemas.microsoft.com/office/drawing/2014/chart" uri="{C3380CC4-5D6E-409C-BE32-E72D297353CC}">
              <c16:uniqueId val="{00000001-BB5E-48C3-8BC0-26ADC15214C7}"/>
            </c:ext>
          </c:extLst>
        </c:ser>
        <c:dLbls>
          <c:showLegendKey val="0"/>
          <c:showVal val="0"/>
          <c:showCatName val="0"/>
          <c:showSerName val="0"/>
          <c:showPercent val="0"/>
          <c:showBubbleSize val="0"/>
        </c:dLbls>
        <c:axId val="1616642736"/>
        <c:axId val="1616637456"/>
      </c:scatterChart>
      <c:valAx>
        <c:axId val="1616642736"/>
        <c:scaling>
          <c:orientation val="minMax"/>
        </c:scaling>
        <c:delete val="0"/>
        <c:axPos val="b"/>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16637456"/>
        <c:crosses val="autoZero"/>
        <c:crossBetween val="midCat"/>
      </c:valAx>
      <c:valAx>
        <c:axId val="1616637456"/>
        <c:scaling>
          <c:orientation val="minMax"/>
        </c:scaling>
        <c:delete val="0"/>
        <c:axPos val="l"/>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16642736"/>
        <c:crosses val="autoZero"/>
        <c:crossBetween val="midCat"/>
      </c:valAx>
      <c:spPr>
        <a:noFill/>
        <a:ln>
          <a:noFill/>
        </a:ln>
        <a:effectLst>
          <a:innerShdw blurRad="63500" dist="50800" dir="16200000">
            <a:schemeClr val="accent3">
              <a:alpha val="38000"/>
            </a:schemeClr>
          </a:inn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[Excel_Dashboard_new.xlsm]Sheet2!PivotTable1</c:name>
    <c:fmtId val="9"/>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a:innerShdw blurRad="63500" dist="50800" dir="13500000">
              <a:prstClr val="black">
                <a:alpha val="50000"/>
              </a:prst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solidFill>
              <a:srgbClr val="FFFF00"/>
            </a:solidFill>
            <a:ln>
              <a:noFill/>
            </a:ln>
            <a:effectLst>
              <a:innerShdw blurRad="63500" dist="50800" dir="13500000">
                <a:prstClr val="black">
                  <a:alpha val="50000"/>
                </a:prstClr>
              </a:innerShdw>
            </a:effectLst>
          </c:spPr>
          <c:invertIfNegative val="0"/>
          <c:cat>
            <c:strRef>
              <c:f>Sheet2!$A$4:$A$8</c:f>
              <c:strCache>
                <c:ptCount val="4"/>
                <c:pt idx="0">
                  <c:v>Odisha Srtc</c:v>
                </c:pt>
                <c:pt idx="1">
                  <c:v>Pepsu Rtc</c:v>
                </c:pt>
                <c:pt idx="2">
                  <c:v>Punbus</c:v>
                </c:pt>
                <c:pt idx="3">
                  <c:v>Rajasthan Srtc</c:v>
                </c:pt>
              </c:strCache>
            </c:strRef>
          </c:cat>
          <c:val>
            <c:numRef>
              <c:f>Sheet2!$B$4:$B$8</c:f>
              <c:numCache>
                <c:formatCode>General</c:formatCode>
                <c:ptCount val="4"/>
                <c:pt idx="0">
                  <c:v>18.399999999999999</c:v>
                </c:pt>
                <c:pt idx="1">
                  <c:v>4.6900000000000004</c:v>
                </c:pt>
                <c:pt idx="2">
                  <c:v>9.14</c:v>
                </c:pt>
                <c:pt idx="3">
                  <c:v>20.14</c:v>
                </c:pt>
              </c:numCache>
            </c:numRef>
          </c:val>
          <c:extLst>
            <c:ext xmlns:c16="http://schemas.microsoft.com/office/drawing/2014/chart" uri="{C3380CC4-5D6E-409C-BE32-E72D297353CC}">
              <c16:uniqueId val="{00000000-F21B-469D-96D4-B2341576EE7B}"/>
            </c:ext>
          </c:extLst>
        </c:ser>
        <c:dLbls>
          <c:showLegendKey val="0"/>
          <c:showVal val="0"/>
          <c:showCatName val="0"/>
          <c:showSerName val="0"/>
          <c:showPercent val="0"/>
          <c:showBubbleSize val="0"/>
        </c:dLbls>
        <c:gapWidth val="115"/>
        <c:overlap val="-20"/>
        <c:axId val="815117552"/>
        <c:axId val="815125712"/>
      </c:barChart>
      <c:catAx>
        <c:axId val="815117552"/>
        <c:scaling>
          <c:orientation val="minMax"/>
        </c:scaling>
        <c:delete val="0"/>
        <c:axPos val="l"/>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5125712"/>
        <c:crosses val="autoZero"/>
        <c:auto val="1"/>
        <c:lblAlgn val="ctr"/>
        <c:lblOffset val="100"/>
        <c:noMultiLvlLbl val="0"/>
      </c:catAx>
      <c:valAx>
        <c:axId val="815125712"/>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5117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[Excel_Dashboard_new.xlsm]obj2!PivotTable11</c:name>
    <c:fmtId val="1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6">
                <a:lumMod val="75000"/>
              </a:schemeClr>
            </a:solidFill>
            <a:round/>
          </a:ln>
          <a:effectLst>
            <a:outerShdw blurRad="57150" dist="19050" dir="5400000" algn="ctr" rotWithShape="0">
              <a:srgbClr val="000000">
                <a:alpha val="63000"/>
              </a:srgbClr>
            </a:outerShdw>
          </a:effectLst>
        </c:spPr>
        <c:marker>
          <c:symbol val="diamond"/>
          <c:size val="7"/>
          <c:spPr>
            <a:solidFill>
              <a:schemeClr val="bg2"/>
            </a:soli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'obj2'!$B$3</c:f>
              <c:strCache>
                <c:ptCount val="1"/>
                <c:pt idx="0">
                  <c:v>Total</c:v>
                </c:pt>
              </c:strCache>
            </c:strRef>
          </c:tx>
          <c:spPr>
            <a:ln w="34925" cap="rnd">
              <a:solidFill>
                <a:schemeClr val="accent6">
                  <a:lumMod val="75000"/>
                </a:schemeClr>
              </a:solidFill>
              <a:round/>
            </a:ln>
            <a:effectLst>
              <a:outerShdw blurRad="57150" dist="19050" dir="5400000" algn="ctr" rotWithShape="0">
                <a:srgbClr val="000000">
                  <a:alpha val="63000"/>
                </a:srgbClr>
              </a:outerShdw>
            </a:effectLst>
          </c:spPr>
          <c:marker>
            <c:symbol val="diamond"/>
            <c:size val="7"/>
            <c:spPr>
              <a:solidFill>
                <a:schemeClr val="bg2"/>
              </a:solidFill>
              <a:ln w="9525">
                <a:solidFill>
                  <a:schemeClr val="accent1"/>
                </a:solidFill>
                <a:round/>
              </a:ln>
              <a:effectLst>
                <a:outerShdw blurRad="57150" dist="19050" dir="5400000" algn="ctr" rotWithShape="0">
                  <a:srgbClr val="000000">
                    <a:alpha val="63000"/>
                  </a:srgbClr>
                </a:outerShdw>
              </a:effectLst>
            </c:spPr>
          </c:marker>
          <c:cat>
            <c:strRef>
              <c:f>'obj2'!$A$4:$A$8</c:f>
              <c:strCache>
                <c:ptCount val="4"/>
                <c:pt idx="0">
                  <c:v>2008</c:v>
                </c:pt>
                <c:pt idx="1">
                  <c:v>2010</c:v>
                </c:pt>
                <c:pt idx="2">
                  <c:v>2014</c:v>
                </c:pt>
                <c:pt idx="3">
                  <c:v>2018</c:v>
                </c:pt>
              </c:strCache>
            </c:strRef>
          </c:cat>
          <c:val>
            <c:numRef>
              <c:f>'obj2'!$B$4:$B$8</c:f>
              <c:numCache>
                <c:formatCode>General</c:formatCode>
                <c:ptCount val="4"/>
                <c:pt idx="0">
                  <c:v>6.95</c:v>
                </c:pt>
                <c:pt idx="1">
                  <c:v>4.4499999999999993</c:v>
                </c:pt>
                <c:pt idx="2">
                  <c:v>5.3566666666666665</c:v>
                </c:pt>
                <c:pt idx="3">
                  <c:v>6.6074999999999999</c:v>
                </c:pt>
              </c:numCache>
            </c:numRef>
          </c:val>
          <c:smooth val="0"/>
          <c:extLst>
            <c:ext xmlns:c16="http://schemas.microsoft.com/office/drawing/2014/chart" uri="{C3380CC4-5D6E-409C-BE32-E72D297353CC}">
              <c16:uniqueId val="{00000000-9792-496D-BDD3-A65747CB4459}"/>
            </c:ext>
          </c:extLst>
        </c:ser>
        <c:dLbls>
          <c:showLegendKey val="0"/>
          <c:showVal val="0"/>
          <c:showCatName val="0"/>
          <c:showSerName val="0"/>
          <c:showPercent val="0"/>
          <c:showBubbleSize val="0"/>
        </c:dLbls>
        <c:marker val="1"/>
        <c:smooth val="0"/>
        <c:axId val="1105623424"/>
        <c:axId val="1105621504"/>
      </c:lineChart>
      <c:catAx>
        <c:axId val="1105623424"/>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5621504"/>
        <c:crosses val="autoZero"/>
        <c:auto val="1"/>
        <c:lblAlgn val="ctr"/>
        <c:lblOffset val="100"/>
        <c:noMultiLvlLbl val="0"/>
      </c:catAx>
      <c:valAx>
        <c:axId val="110562150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56234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[Excel_Dashboard_new.xlsm]obj3!PivotTable12</c:name>
    <c:fmtId val="9"/>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FFFF00"/>
          </a:solidFill>
          <a:ln>
            <a:noFill/>
          </a:ln>
          <a:effectLst>
            <a:innerShdw blurRad="63500" dist="50800" dir="13500000">
              <a:prstClr val="black">
                <a:alpha val="50000"/>
              </a:prst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263459506125061"/>
          <c:y val="0.27695474235933276"/>
          <c:w val="0.78169923939091734"/>
          <c:h val="0.43138692769786757"/>
        </c:manualLayout>
      </c:layout>
      <c:barChart>
        <c:barDir val="col"/>
        <c:grouping val="clustered"/>
        <c:varyColors val="0"/>
        <c:ser>
          <c:idx val="0"/>
          <c:order val="0"/>
          <c:tx>
            <c:strRef>
              <c:f>'obj3'!$B$4</c:f>
              <c:strCache>
                <c:ptCount val="1"/>
                <c:pt idx="0">
                  <c:v>Total</c:v>
                </c:pt>
              </c:strCache>
            </c:strRef>
          </c:tx>
          <c:spPr>
            <a:solidFill>
              <a:srgbClr val="FFFF00"/>
            </a:solidFill>
            <a:ln>
              <a:noFill/>
            </a:ln>
            <a:effectLst>
              <a:innerShdw blurRad="63500" dist="50800" dir="13500000">
                <a:prstClr val="black">
                  <a:alpha val="50000"/>
                </a:prstClr>
              </a:innerShdw>
            </a:effectLst>
          </c:spPr>
          <c:invertIfNegative val="0"/>
          <c:cat>
            <c:strRef>
              <c:f>'obj3'!$A$5:$A$10</c:f>
              <c:strCache>
                <c:ptCount val="5"/>
                <c:pt idx="0">
                  <c:v>Gujarat Srtc</c:v>
                </c:pt>
                <c:pt idx="1">
                  <c:v>Tn Stc ( Kumbakonam ) Ltd.</c:v>
                </c:pt>
                <c:pt idx="2">
                  <c:v>Tn Stc ( Madurai ) Ltd.</c:v>
                </c:pt>
                <c:pt idx="3">
                  <c:v>Tn Stc ( Salem ) Ltd.</c:v>
                </c:pt>
                <c:pt idx="4">
                  <c:v>Tn Stc ( Villupuram ) Ltd.</c:v>
                </c:pt>
              </c:strCache>
            </c:strRef>
          </c:cat>
          <c:val>
            <c:numRef>
              <c:f>'obj3'!$B$5:$B$10</c:f>
              <c:numCache>
                <c:formatCode>General</c:formatCode>
                <c:ptCount val="5"/>
                <c:pt idx="0">
                  <c:v>5.48</c:v>
                </c:pt>
                <c:pt idx="1">
                  <c:v>5.63</c:v>
                </c:pt>
                <c:pt idx="2">
                  <c:v>5.4</c:v>
                </c:pt>
                <c:pt idx="3">
                  <c:v>5.53</c:v>
                </c:pt>
                <c:pt idx="4">
                  <c:v>5.59</c:v>
                </c:pt>
              </c:numCache>
            </c:numRef>
          </c:val>
          <c:extLst>
            <c:ext xmlns:c16="http://schemas.microsoft.com/office/drawing/2014/chart" uri="{C3380CC4-5D6E-409C-BE32-E72D297353CC}">
              <c16:uniqueId val="{00000000-61B9-4118-83B5-ADA01239EFEA}"/>
            </c:ext>
          </c:extLst>
        </c:ser>
        <c:dLbls>
          <c:showLegendKey val="0"/>
          <c:showVal val="0"/>
          <c:showCatName val="0"/>
          <c:showSerName val="0"/>
          <c:showPercent val="0"/>
          <c:showBubbleSize val="0"/>
        </c:dLbls>
        <c:gapWidth val="100"/>
        <c:overlap val="-24"/>
        <c:axId val="1116577200"/>
        <c:axId val="1116576720"/>
      </c:barChart>
      <c:catAx>
        <c:axId val="1116577200"/>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6576720"/>
        <c:crosses val="autoZero"/>
        <c:auto val="1"/>
        <c:lblAlgn val="ctr"/>
        <c:lblOffset val="100"/>
        <c:noMultiLvlLbl val="0"/>
      </c:catAx>
      <c:valAx>
        <c:axId val="111657672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6577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a:outerShdw blurRad="50800" dist="50800" dir="54000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[Excel_Dashboard_new.xlsm]obj6!PivotTable15</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doughnutChart>
        <c:varyColors val="1"/>
        <c:ser>
          <c:idx val="0"/>
          <c:order val="0"/>
          <c:tx>
            <c:strRef>
              <c:f>'obj6'!$B$3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D95-435A-A69F-FBB6613A2E8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D95-435A-A69F-FBB6613A2E8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D95-435A-A69F-FBB6613A2E87}"/>
              </c:ext>
            </c:extLst>
          </c:dPt>
          <c:cat>
            <c:strRef>
              <c:f>'obj6'!$A$4:$A$6</c:f>
              <c:strCache>
                <c:ptCount val="2"/>
                <c:pt idx="0">
                  <c:v>&lt;5 Years</c:v>
                </c:pt>
                <c:pt idx="1">
                  <c:v>5-10 Years</c:v>
                </c:pt>
              </c:strCache>
            </c:strRef>
          </c:cat>
          <c:val>
            <c:numRef>
              <c:f>'obj6'!$B$4:$B$6</c:f>
              <c:numCache>
                <c:formatCode>General</c:formatCode>
                <c:ptCount val="2"/>
                <c:pt idx="0">
                  <c:v>22.869999999999997</c:v>
                </c:pt>
                <c:pt idx="1">
                  <c:v>42.43</c:v>
                </c:pt>
              </c:numCache>
            </c:numRef>
          </c:val>
          <c:extLst>
            <c:ext xmlns:c16="http://schemas.microsoft.com/office/drawing/2014/chart" uri="{C3380CC4-5D6E-409C-BE32-E72D297353CC}">
              <c16:uniqueId val="{00000006-1D95-435A-A69F-FBB6613A2E8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[Excel_Dashboard_new.xlsm]obj5!PivotTable14</c:name>
    <c:fmtId val="16"/>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6">
                <a:lumMod val="75000"/>
              </a:schemeClr>
            </a:solidFill>
            <a:round/>
          </a:ln>
          <a:effectLst>
            <a:outerShdw blurRad="57150" dist="19050" dir="5400000" algn="ctr" rotWithShape="0">
              <a:srgbClr val="000000">
                <a:alpha val="63000"/>
              </a:srgbClr>
            </a:outerShdw>
          </a:effectLst>
        </c:spPr>
        <c:marker>
          <c:symbol val="diamond"/>
          <c:size val="7"/>
          <c:spPr>
            <a:solidFill>
              <a:schemeClr val="bg1">
                <a:lumMod val="85000"/>
              </a:schemeClr>
            </a:soli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384561694331149"/>
          <c:y val="0.24259181342790168"/>
          <c:w val="0.70521255480184086"/>
          <c:h val="0.4369670012622468"/>
        </c:manualLayout>
      </c:layout>
      <c:lineChart>
        <c:grouping val="standard"/>
        <c:varyColors val="0"/>
        <c:ser>
          <c:idx val="0"/>
          <c:order val="0"/>
          <c:tx>
            <c:strRef>
              <c:f>'obj5'!$B$3</c:f>
              <c:strCache>
                <c:ptCount val="1"/>
                <c:pt idx="0">
                  <c:v>Total</c:v>
                </c:pt>
              </c:strCache>
            </c:strRef>
          </c:tx>
          <c:spPr>
            <a:ln w="34925" cap="rnd">
              <a:solidFill>
                <a:schemeClr val="accent6">
                  <a:lumMod val="75000"/>
                </a:schemeClr>
              </a:solidFill>
              <a:round/>
            </a:ln>
            <a:effectLst>
              <a:outerShdw blurRad="57150" dist="19050" dir="5400000" algn="ctr" rotWithShape="0">
                <a:srgbClr val="000000">
                  <a:alpha val="63000"/>
                </a:srgbClr>
              </a:outerShdw>
            </a:effectLst>
          </c:spPr>
          <c:marker>
            <c:symbol val="diamond"/>
            <c:size val="7"/>
            <c:spPr>
              <a:solidFill>
                <a:schemeClr val="bg1">
                  <a:lumMod val="85000"/>
                </a:schemeClr>
              </a:solidFill>
              <a:ln w="9525">
                <a:solidFill>
                  <a:schemeClr val="accent1"/>
                </a:solidFill>
                <a:round/>
              </a:ln>
              <a:effectLst>
                <a:outerShdw blurRad="57150" dist="19050" dir="5400000" algn="ctr" rotWithShape="0">
                  <a:srgbClr val="000000">
                    <a:alpha val="63000"/>
                  </a:srgbClr>
                </a:outerShdw>
              </a:effectLst>
            </c:spPr>
          </c:marker>
          <c:cat>
            <c:strRef>
              <c:f>'obj5'!$A$4:$A$8</c:f>
              <c:strCache>
                <c:ptCount val="4"/>
                <c:pt idx="0">
                  <c:v>2008</c:v>
                </c:pt>
                <c:pt idx="1">
                  <c:v>2010</c:v>
                </c:pt>
                <c:pt idx="2">
                  <c:v>2014</c:v>
                </c:pt>
                <c:pt idx="3">
                  <c:v>2018</c:v>
                </c:pt>
              </c:strCache>
            </c:strRef>
          </c:cat>
          <c:val>
            <c:numRef>
              <c:f>'obj5'!$B$4:$B$8</c:f>
              <c:numCache>
                <c:formatCode>General</c:formatCode>
                <c:ptCount val="4"/>
                <c:pt idx="0">
                  <c:v>3756</c:v>
                </c:pt>
                <c:pt idx="1">
                  <c:v>3439</c:v>
                </c:pt>
                <c:pt idx="2">
                  <c:v>4565</c:v>
                </c:pt>
                <c:pt idx="3">
                  <c:v>4821.37</c:v>
                </c:pt>
              </c:numCache>
            </c:numRef>
          </c:val>
          <c:smooth val="0"/>
          <c:extLst>
            <c:ext xmlns:c16="http://schemas.microsoft.com/office/drawing/2014/chart" uri="{C3380CC4-5D6E-409C-BE32-E72D297353CC}">
              <c16:uniqueId val="{00000000-F58C-4831-A54B-7B586F58B7F2}"/>
            </c:ext>
          </c:extLst>
        </c:ser>
        <c:dLbls>
          <c:showLegendKey val="0"/>
          <c:showVal val="0"/>
          <c:showCatName val="0"/>
          <c:showSerName val="0"/>
          <c:showPercent val="0"/>
          <c:showBubbleSize val="0"/>
        </c:dLbls>
        <c:marker val="1"/>
        <c:smooth val="0"/>
        <c:axId val="1112745232"/>
        <c:axId val="1112744272"/>
      </c:lineChart>
      <c:catAx>
        <c:axId val="1112745232"/>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2744272"/>
        <c:crosses val="autoZero"/>
        <c:auto val="1"/>
        <c:lblAlgn val="ctr"/>
        <c:lblOffset val="100"/>
        <c:noMultiLvlLbl val="0"/>
      </c:catAx>
      <c:valAx>
        <c:axId val="111274427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2745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[Excel_Dashboard_new.xlsm]Obj1!PivotTable10</c:name>
    <c:fmtId val="14"/>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659463507690922"/>
          <c:y val="0.26169877239610762"/>
          <c:w val="0.63799063685760982"/>
          <c:h val="0.27915343007376969"/>
        </c:manualLayout>
      </c:layout>
      <c:barChart>
        <c:barDir val="col"/>
        <c:grouping val="clustered"/>
        <c:varyColors val="0"/>
        <c:ser>
          <c:idx val="0"/>
          <c:order val="0"/>
          <c:tx>
            <c:strRef>
              <c:f>'Obj1'!$B$3:$B$4</c:f>
              <c:strCache>
                <c:ptCount val="1"/>
                <c:pt idx="0">
                  <c:v>2008</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'Obj1'!$A$5:$A$9</c:f>
              <c:strCache>
                <c:ptCount val="4"/>
                <c:pt idx="0">
                  <c:v>Odisha Srtc</c:v>
                </c:pt>
                <c:pt idx="1">
                  <c:v>Pepsu Rtc</c:v>
                </c:pt>
                <c:pt idx="2">
                  <c:v>Punbus</c:v>
                </c:pt>
                <c:pt idx="3">
                  <c:v>Rajasthan Srtc</c:v>
                </c:pt>
              </c:strCache>
            </c:strRef>
          </c:cat>
          <c:val>
            <c:numRef>
              <c:f>'Obj1'!$B$5:$B$9</c:f>
              <c:numCache>
                <c:formatCode>General</c:formatCode>
                <c:ptCount val="4"/>
                <c:pt idx="0">
                  <c:v>57</c:v>
                </c:pt>
                <c:pt idx="3">
                  <c:v>3699</c:v>
                </c:pt>
              </c:numCache>
            </c:numRef>
          </c:val>
          <c:extLst>
            <c:ext xmlns:c16="http://schemas.microsoft.com/office/drawing/2014/chart" uri="{C3380CC4-5D6E-409C-BE32-E72D297353CC}">
              <c16:uniqueId val="{00000000-406F-49AC-A2E3-021D4686D600}"/>
            </c:ext>
          </c:extLst>
        </c:ser>
        <c:ser>
          <c:idx val="1"/>
          <c:order val="1"/>
          <c:tx>
            <c:strRef>
              <c:f>'Obj1'!$C$3:$C$4</c:f>
              <c:strCache>
                <c:ptCount val="1"/>
                <c:pt idx="0">
                  <c:v>2010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'Obj1'!$A$5:$A$9</c:f>
              <c:strCache>
                <c:ptCount val="4"/>
                <c:pt idx="0">
                  <c:v>Odisha Srtc</c:v>
                </c:pt>
                <c:pt idx="1">
                  <c:v>Pepsu Rtc</c:v>
                </c:pt>
                <c:pt idx="2">
                  <c:v>Punbus</c:v>
                </c:pt>
                <c:pt idx="3">
                  <c:v>Rajasthan Srtc</c:v>
                </c:pt>
              </c:strCache>
            </c:strRef>
          </c:cat>
          <c:val>
            <c:numRef>
              <c:f>'Obj1'!$C$5:$C$9</c:f>
              <c:numCache>
                <c:formatCode>General</c:formatCode>
                <c:ptCount val="4"/>
                <c:pt idx="0">
                  <c:v>48</c:v>
                </c:pt>
                <c:pt idx="3">
                  <c:v>3391</c:v>
                </c:pt>
              </c:numCache>
            </c:numRef>
          </c:val>
          <c:extLst>
            <c:ext xmlns:c16="http://schemas.microsoft.com/office/drawing/2014/chart" uri="{C3380CC4-5D6E-409C-BE32-E72D297353CC}">
              <c16:uniqueId val="{00000011-406F-49AC-A2E3-021D4686D600}"/>
            </c:ext>
          </c:extLst>
        </c:ser>
        <c:ser>
          <c:idx val="2"/>
          <c:order val="2"/>
          <c:tx>
            <c:strRef>
              <c:f>'Obj1'!$D$3:$D$4</c:f>
              <c:strCache>
                <c:ptCount val="1"/>
                <c:pt idx="0">
                  <c:v>2014</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'Obj1'!$A$5:$A$9</c:f>
              <c:strCache>
                <c:ptCount val="4"/>
                <c:pt idx="0">
                  <c:v>Odisha Srtc</c:v>
                </c:pt>
                <c:pt idx="1">
                  <c:v>Pepsu Rtc</c:v>
                </c:pt>
                <c:pt idx="2">
                  <c:v>Punbus</c:v>
                </c:pt>
                <c:pt idx="3">
                  <c:v>Rajasthan Srtc</c:v>
                </c:pt>
              </c:strCache>
            </c:strRef>
          </c:cat>
          <c:val>
            <c:numRef>
              <c:f>'Obj1'!$D$5:$D$9</c:f>
              <c:numCache>
                <c:formatCode>General</c:formatCode>
                <c:ptCount val="4"/>
                <c:pt idx="0">
                  <c:v>64</c:v>
                </c:pt>
                <c:pt idx="2">
                  <c:v>919</c:v>
                </c:pt>
                <c:pt idx="3">
                  <c:v>3582</c:v>
                </c:pt>
              </c:numCache>
            </c:numRef>
          </c:val>
          <c:extLst>
            <c:ext xmlns:c16="http://schemas.microsoft.com/office/drawing/2014/chart" uri="{C3380CC4-5D6E-409C-BE32-E72D297353CC}">
              <c16:uniqueId val="{00000012-406F-49AC-A2E3-021D4686D600}"/>
            </c:ext>
          </c:extLst>
        </c:ser>
        <c:ser>
          <c:idx val="3"/>
          <c:order val="3"/>
          <c:tx>
            <c:strRef>
              <c:f>'Obj1'!$E$3:$E$4</c:f>
              <c:strCache>
                <c:ptCount val="1"/>
                <c:pt idx="0">
                  <c:v>2018</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'Obj1'!$A$5:$A$9</c:f>
              <c:strCache>
                <c:ptCount val="4"/>
                <c:pt idx="0">
                  <c:v>Odisha Srtc</c:v>
                </c:pt>
                <c:pt idx="1">
                  <c:v>Pepsu Rtc</c:v>
                </c:pt>
                <c:pt idx="2">
                  <c:v>Punbus</c:v>
                </c:pt>
                <c:pt idx="3">
                  <c:v>Rajasthan Srtc</c:v>
                </c:pt>
              </c:strCache>
            </c:strRef>
          </c:cat>
          <c:val>
            <c:numRef>
              <c:f>'Obj1'!$E$5:$E$9</c:f>
              <c:numCache>
                <c:formatCode>General</c:formatCode>
                <c:ptCount val="4"/>
                <c:pt idx="0">
                  <c:v>71.7</c:v>
                </c:pt>
                <c:pt idx="1">
                  <c:v>0.28000000000000003</c:v>
                </c:pt>
                <c:pt idx="2">
                  <c:v>1642.5</c:v>
                </c:pt>
                <c:pt idx="3">
                  <c:v>3106.89</c:v>
                </c:pt>
              </c:numCache>
            </c:numRef>
          </c:val>
          <c:extLst>
            <c:ext xmlns:c16="http://schemas.microsoft.com/office/drawing/2014/chart" uri="{C3380CC4-5D6E-409C-BE32-E72D297353CC}">
              <c16:uniqueId val="{00000013-406F-49AC-A2E3-021D4686D600}"/>
            </c:ext>
          </c:extLst>
        </c:ser>
        <c:dLbls>
          <c:showLegendKey val="0"/>
          <c:showVal val="0"/>
          <c:showCatName val="0"/>
          <c:showSerName val="0"/>
          <c:showPercent val="0"/>
          <c:showBubbleSize val="0"/>
        </c:dLbls>
        <c:gapWidth val="100"/>
        <c:overlap val="-24"/>
        <c:axId val="1109816848"/>
        <c:axId val="1109817328"/>
      </c:barChart>
      <c:catAx>
        <c:axId val="1109816848"/>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9817328"/>
        <c:crosses val="autoZero"/>
        <c:auto val="1"/>
        <c:lblAlgn val="ctr"/>
        <c:lblOffset val="100"/>
        <c:noMultiLvlLbl val="0"/>
      </c:catAx>
      <c:valAx>
        <c:axId val="110981732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9816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AFD7B43D-AA0E-4250-A8A8-66C2028D113D}">
          <cx:dataLabels pos="inEnd">
            <cx:visibility seriesName="0" categoryName="1" value="0"/>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plotArea>
      <cx:plotAreaRegion>
        <cx:series layoutId="treemap" uniqueId="{AFD7B43D-AA0E-4250-A8A8-66C2028D113D}">
          <cx:dataLabels pos="inEnd">
            <cx:visibility seriesName="0" categoryName="1" value="0"/>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microsoft.com/office/2014/relationships/chartEx" Target="../charts/chartEx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chart" Target="../charts/chart15.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image" Target="../media/image3.svg"/><Relationship Id="rId2" Type="http://schemas.openxmlformats.org/officeDocument/2006/relationships/image" Target="../media/image1.png"/><Relationship Id="rId1" Type="http://schemas.openxmlformats.org/officeDocument/2006/relationships/hyperlink" Target="#KPIS!A1"/><Relationship Id="rId6" Type="http://schemas.openxmlformats.org/officeDocument/2006/relationships/chart" Target="../charts/chart12.xml"/><Relationship Id="rId11" Type="http://schemas.openxmlformats.org/officeDocument/2006/relationships/image" Target="../media/image2.png"/><Relationship Id="rId5" Type="http://schemas.openxmlformats.org/officeDocument/2006/relationships/chart" Target="../charts/chart11.xml"/><Relationship Id="rId10" Type="http://schemas.openxmlformats.org/officeDocument/2006/relationships/hyperlink" Target="#Homepage!A1"/><Relationship Id="rId4" Type="http://schemas.openxmlformats.org/officeDocument/2006/relationships/chart" Target="../charts/chart10.xml"/><Relationship Id="rId9" Type="http://schemas.microsoft.com/office/2014/relationships/chartEx" Target="../charts/chartEx2.xml"/></Relationships>
</file>

<file path=xl/drawings/_rels/drawing11.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hyperlink" Target="#Cleaned_Dataset!A1"/><Relationship Id="rId26" Type="http://schemas.openxmlformats.org/officeDocument/2006/relationships/hyperlink" Target="https://www.linkedin.com/in/nikita-balwada29/" TargetMode="External"/><Relationship Id="rId3" Type="http://schemas.openxmlformats.org/officeDocument/2006/relationships/image" Target="../media/image6.png"/><Relationship Id="rId21" Type="http://schemas.openxmlformats.org/officeDocument/2006/relationships/image" Target="../media/image22.png"/><Relationship Id="rId7" Type="http://schemas.openxmlformats.org/officeDocument/2006/relationships/image" Target="../media/image9.svg"/><Relationship Id="rId12" Type="http://schemas.openxmlformats.org/officeDocument/2006/relationships/image" Target="../media/image14.png"/><Relationship Id="rId17" Type="http://schemas.openxmlformats.org/officeDocument/2006/relationships/image" Target="../media/image19.svg"/><Relationship Id="rId25" Type="http://schemas.openxmlformats.org/officeDocument/2006/relationships/image" Target="../media/image25.svg"/><Relationship Id="rId2" Type="http://schemas.openxmlformats.org/officeDocument/2006/relationships/image" Target="../media/image5.svg"/><Relationship Id="rId16" Type="http://schemas.openxmlformats.org/officeDocument/2006/relationships/image" Target="../media/image18.png"/><Relationship Id="rId20" Type="http://schemas.openxmlformats.org/officeDocument/2006/relationships/image" Target="../media/image21.svg"/><Relationship Id="rId29" Type="http://schemas.openxmlformats.org/officeDocument/2006/relationships/image" Target="../media/image27.png"/><Relationship Id="rId1" Type="http://schemas.openxmlformats.org/officeDocument/2006/relationships/image" Target="../media/image4.png"/><Relationship Id="rId6" Type="http://schemas.openxmlformats.org/officeDocument/2006/relationships/image" Target="../media/image8.png"/><Relationship Id="rId11" Type="http://schemas.openxmlformats.org/officeDocument/2006/relationships/image" Target="../media/image13.svg"/><Relationship Id="rId24" Type="http://schemas.openxmlformats.org/officeDocument/2006/relationships/image" Target="../media/image24.png"/><Relationship Id="rId32" Type="http://schemas.openxmlformats.org/officeDocument/2006/relationships/image" Target="../media/image29.svg"/><Relationship Id="rId5" Type="http://schemas.openxmlformats.org/officeDocument/2006/relationships/hyperlink" Target="https://ndap.niti.gov.in/dataset/1814" TargetMode="External"/><Relationship Id="rId15" Type="http://schemas.openxmlformats.org/officeDocument/2006/relationships/image" Target="../media/image17.svg"/><Relationship Id="rId23" Type="http://schemas.openxmlformats.org/officeDocument/2006/relationships/hyperlink" Target="#Dashboard!A1"/><Relationship Id="rId28" Type="http://schemas.openxmlformats.org/officeDocument/2006/relationships/hyperlink" Target="http://github.com/nikita0109balwada/EXCEL_DASHBOARD" TargetMode="External"/><Relationship Id="rId10" Type="http://schemas.openxmlformats.org/officeDocument/2006/relationships/image" Target="../media/image12.png"/><Relationship Id="rId19" Type="http://schemas.openxmlformats.org/officeDocument/2006/relationships/image" Target="../media/image20.png"/><Relationship Id="rId31" Type="http://schemas.openxmlformats.org/officeDocument/2006/relationships/image" Target="../media/image28.png"/><Relationship Id="rId4" Type="http://schemas.openxmlformats.org/officeDocument/2006/relationships/image" Target="../media/image7.svg"/><Relationship Id="rId9" Type="http://schemas.openxmlformats.org/officeDocument/2006/relationships/image" Target="../media/image11.svg"/><Relationship Id="rId14" Type="http://schemas.openxmlformats.org/officeDocument/2006/relationships/image" Target="../media/image16.png"/><Relationship Id="rId22" Type="http://schemas.openxmlformats.org/officeDocument/2006/relationships/image" Target="../media/image23.svg"/><Relationship Id="rId27" Type="http://schemas.openxmlformats.org/officeDocument/2006/relationships/image" Target="../media/image26.png"/><Relationship Id="rId30" Type="http://schemas.openxmlformats.org/officeDocument/2006/relationships/hyperlink" Target="#Homepage!A1"/></Relationships>
</file>

<file path=xl/drawings/_rels/drawing12.xml.rels><?xml version="1.0" encoding="UTF-8" standalone="yes"?>
<Relationships xmlns="http://schemas.openxmlformats.org/package/2006/relationships"><Relationship Id="rId3" Type="http://schemas.openxmlformats.org/officeDocument/2006/relationships/hyperlink" Target="#KPIS!A1"/><Relationship Id="rId2" Type="http://schemas.openxmlformats.org/officeDocument/2006/relationships/hyperlink" Target="#Cleaned_Dataset!A1"/><Relationship Id="rId1" Type="http://schemas.openxmlformats.org/officeDocument/2006/relationships/hyperlink" Target="#Dashboard!A1"/><Relationship Id="rId4" Type="http://schemas.openxmlformats.org/officeDocument/2006/relationships/hyperlink" Target="#Original_Dataset!A1"/></Relationships>
</file>

<file path=xl/drawings/drawing1.xml><?xml version="1.0" encoding="utf-8"?>
<xdr:wsDr xmlns:xdr="http://schemas.openxmlformats.org/drawingml/2006/spreadsheetDrawing" xmlns:a="http://schemas.openxmlformats.org/drawingml/2006/main">
  <xdr:twoCellAnchor>
    <xdr:from>
      <xdr:col>9</xdr:col>
      <xdr:colOff>133350</xdr:colOff>
      <xdr:row>3</xdr:row>
      <xdr:rowOff>0</xdr:rowOff>
    </xdr:from>
    <xdr:to>
      <xdr:col>13</xdr:col>
      <xdr:colOff>330200</xdr:colOff>
      <xdr:row>11</xdr:row>
      <xdr:rowOff>25400</xdr:rowOff>
    </xdr:to>
    <xdr:graphicFrame macro="">
      <xdr:nvGraphicFramePr>
        <xdr:cNvPr id="2" name="Chart 1">
          <a:extLst>
            <a:ext uri="{FF2B5EF4-FFF2-40B4-BE49-F238E27FC236}">
              <a16:creationId xmlns:a16="http://schemas.microsoft.com/office/drawing/2014/main" id="{4643311B-A15A-25D5-5237-3FF946B104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38100</xdr:colOff>
      <xdr:row>14</xdr:row>
      <xdr:rowOff>177800</xdr:rowOff>
    </xdr:from>
    <xdr:to>
      <xdr:col>9</xdr:col>
      <xdr:colOff>107950</xdr:colOff>
      <xdr:row>28</xdr:row>
      <xdr:rowOff>123825</xdr:rowOff>
    </xdr:to>
    <mc:AlternateContent xmlns:mc="http://schemas.openxmlformats.org/markup-compatibility/2006">
      <mc:Choice xmlns:a14="http://schemas.microsoft.com/office/drawing/2010/main" Requires="a14">
        <xdr:graphicFrame macro="">
          <xdr:nvGraphicFramePr>
            <xdr:cNvPr id="3" name="SRTU">
              <a:extLst>
                <a:ext uri="{FF2B5EF4-FFF2-40B4-BE49-F238E27FC236}">
                  <a16:creationId xmlns:a16="http://schemas.microsoft.com/office/drawing/2014/main" id="{CBE5F4D5-BD08-7478-E187-2E50F273DA69}"/>
                </a:ext>
              </a:extLst>
            </xdr:cNvPr>
            <xdr:cNvGraphicFramePr/>
          </xdr:nvGraphicFramePr>
          <xdr:xfrm>
            <a:off x="0" y="0"/>
            <a:ext cx="0" cy="0"/>
          </xdr:xfrm>
          <a:graphic>
            <a:graphicData uri="http://schemas.microsoft.com/office/drawing/2010/slicer">
              <sle:slicer xmlns:sle="http://schemas.microsoft.com/office/drawing/2010/slicer" name="SRTU"/>
            </a:graphicData>
          </a:graphic>
        </xdr:graphicFrame>
      </mc:Choice>
      <mc:Fallback>
        <xdr:sp macro="" textlink="">
          <xdr:nvSpPr>
            <xdr:cNvPr id="0" name=""/>
            <xdr:cNvSpPr>
              <a:spLocks noTextEdit="1"/>
            </xdr:cNvSpPr>
          </xdr:nvSpPr>
          <xdr:spPr>
            <a:xfrm>
              <a:off x="3867150" y="27559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63500</xdr:colOff>
      <xdr:row>15</xdr:row>
      <xdr:rowOff>139700</xdr:rowOff>
    </xdr:from>
    <xdr:to>
      <xdr:col>4</xdr:col>
      <xdr:colOff>152400</xdr:colOff>
      <xdr:row>29</xdr:row>
      <xdr:rowOff>85725</xdr:rowOff>
    </xdr:to>
    <mc:AlternateContent xmlns:mc="http://schemas.openxmlformats.org/markup-compatibility/2006">
      <mc:Choice xmlns:a14="http://schemas.microsoft.com/office/drawing/2010/main" Requires="a14">
        <xdr:graphicFrame macro="">
          <xdr:nvGraphicFramePr>
            <xdr:cNvPr id="4" name="Fleet Age">
              <a:extLst>
                <a:ext uri="{FF2B5EF4-FFF2-40B4-BE49-F238E27FC236}">
                  <a16:creationId xmlns:a16="http://schemas.microsoft.com/office/drawing/2014/main" id="{E876366B-14F0-9A1A-4C2A-EF89F9B674B5}"/>
                </a:ext>
              </a:extLst>
            </xdr:cNvPr>
            <xdr:cNvGraphicFramePr/>
          </xdr:nvGraphicFramePr>
          <xdr:xfrm>
            <a:off x="0" y="0"/>
            <a:ext cx="0" cy="0"/>
          </xdr:xfrm>
          <a:graphic>
            <a:graphicData uri="http://schemas.microsoft.com/office/drawing/2010/slicer">
              <sle:slicer xmlns:sle="http://schemas.microsoft.com/office/drawing/2010/slicer" name="Fleet Age"/>
            </a:graphicData>
          </a:graphic>
        </xdr:graphicFrame>
      </mc:Choice>
      <mc:Fallback>
        <xdr:sp macro="" textlink="">
          <xdr:nvSpPr>
            <xdr:cNvPr id="0" name=""/>
            <xdr:cNvSpPr>
              <a:spLocks noTextEdit="1"/>
            </xdr:cNvSpPr>
          </xdr:nvSpPr>
          <xdr:spPr>
            <a:xfrm>
              <a:off x="1606550" y="29019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698500</xdr:colOff>
      <xdr:row>18</xdr:row>
      <xdr:rowOff>31750</xdr:rowOff>
    </xdr:from>
    <xdr:to>
      <xdr:col>15</xdr:col>
      <xdr:colOff>558800</xdr:colOff>
      <xdr:row>31</xdr:row>
      <xdr:rowOff>161925</xdr:rowOff>
    </xdr:to>
    <mc:AlternateContent xmlns:mc="http://schemas.openxmlformats.org/markup-compatibility/2006">
      <mc:Choice xmlns:a14="http://schemas.microsoft.com/office/drawing/2010/main" Requires="a14">
        <xdr:graphicFrame macro="">
          <xdr:nvGraphicFramePr>
            <xdr:cNvPr id="5" name="Year">
              <a:extLst>
                <a:ext uri="{FF2B5EF4-FFF2-40B4-BE49-F238E27FC236}">
                  <a16:creationId xmlns:a16="http://schemas.microsoft.com/office/drawing/2014/main" id="{661182AF-518B-4851-48B8-4E1E8CBF01C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7708900" y="33464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5</xdr:row>
      <xdr:rowOff>0</xdr:rowOff>
    </xdr:from>
    <xdr:to>
      <xdr:col>7</xdr:col>
      <xdr:colOff>0</xdr:colOff>
      <xdr:row>13</xdr:row>
      <xdr:rowOff>171450</xdr:rowOff>
    </xdr:to>
    <xdr:graphicFrame macro="">
      <xdr:nvGraphicFramePr>
        <xdr:cNvPr id="2" name="Chart 1">
          <a:extLst>
            <a:ext uri="{FF2B5EF4-FFF2-40B4-BE49-F238E27FC236}">
              <a16:creationId xmlns:a16="http://schemas.microsoft.com/office/drawing/2014/main" id="{F1C4F9C0-C7D2-9E1D-81C0-9B5C637803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284704</xdr:colOff>
      <xdr:row>4</xdr:row>
      <xdr:rowOff>0</xdr:rowOff>
    </xdr:from>
    <xdr:to>
      <xdr:col>12</xdr:col>
      <xdr:colOff>0</xdr:colOff>
      <xdr:row>18</xdr:row>
      <xdr:rowOff>0</xdr:rowOff>
    </xdr:to>
    <xdr:graphicFrame macro="">
      <xdr:nvGraphicFramePr>
        <xdr:cNvPr id="2" name="Chart 1">
          <a:extLst>
            <a:ext uri="{FF2B5EF4-FFF2-40B4-BE49-F238E27FC236}">
              <a16:creationId xmlns:a16="http://schemas.microsoft.com/office/drawing/2014/main" id="{9432FCD1-AB45-25FA-E8EE-9BB45BAA10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22225</xdr:colOff>
      <xdr:row>4</xdr:row>
      <xdr:rowOff>152400</xdr:rowOff>
    </xdr:from>
    <xdr:to>
      <xdr:col>11</xdr:col>
      <xdr:colOff>38100</xdr:colOff>
      <xdr:row>16</xdr:row>
      <xdr:rowOff>31750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56AE97-DDB7-60B2-D763-CCBEEED42B0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061075" y="889000"/>
              <a:ext cx="3673475" cy="20891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304800</xdr:colOff>
      <xdr:row>5</xdr:row>
      <xdr:rowOff>0</xdr:rowOff>
    </xdr:from>
    <xdr:to>
      <xdr:col>7</xdr:col>
      <xdr:colOff>0</xdr:colOff>
      <xdr:row>17</xdr:row>
      <xdr:rowOff>0</xdr:rowOff>
    </xdr:to>
    <xdr:graphicFrame macro="">
      <xdr:nvGraphicFramePr>
        <xdr:cNvPr id="2" name="Chart 1">
          <a:extLst>
            <a:ext uri="{FF2B5EF4-FFF2-40B4-BE49-F238E27FC236}">
              <a16:creationId xmlns:a16="http://schemas.microsoft.com/office/drawing/2014/main" id="{CD590EAD-89E4-3355-8BA5-90B5BEF196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2</xdr:row>
      <xdr:rowOff>0</xdr:rowOff>
    </xdr:from>
    <xdr:to>
      <xdr:col>7</xdr:col>
      <xdr:colOff>590550</xdr:colOff>
      <xdr:row>12</xdr:row>
      <xdr:rowOff>101600</xdr:rowOff>
    </xdr:to>
    <xdr:graphicFrame macro="">
      <xdr:nvGraphicFramePr>
        <xdr:cNvPr id="2" name="Chart 1">
          <a:extLst>
            <a:ext uri="{FF2B5EF4-FFF2-40B4-BE49-F238E27FC236}">
              <a16:creationId xmlns:a16="http://schemas.microsoft.com/office/drawing/2014/main" id="{431A2542-89D6-F335-2405-C5A136368B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19050</xdr:colOff>
      <xdr:row>2</xdr:row>
      <xdr:rowOff>114300</xdr:rowOff>
    </xdr:from>
    <xdr:to>
      <xdr:col>11</xdr:col>
      <xdr:colOff>114300</xdr:colOff>
      <xdr:row>13</xdr:row>
      <xdr:rowOff>146050</xdr:rowOff>
    </xdr:to>
    <xdr:graphicFrame macro="">
      <xdr:nvGraphicFramePr>
        <xdr:cNvPr id="2" name="Chart 1">
          <a:extLst>
            <a:ext uri="{FF2B5EF4-FFF2-40B4-BE49-F238E27FC236}">
              <a16:creationId xmlns:a16="http://schemas.microsoft.com/office/drawing/2014/main" id="{FFBE2B8A-0D3A-4282-BED1-31722ACA16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473075</xdr:colOff>
      <xdr:row>1</xdr:row>
      <xdr:rowOff>146050</xdr:rowOff>
    </xdr:from>
    <xdr:to>
      <xdr:col>7</xdr:col>
      <xdr:colOff>533400</xdr:colOff>
      <xdr:row>18</xdr:row>
      <xdr:rowOff>25400</xdr:rowOff>
    </xdr:to>
    <xdr:graphicFrame macro="">
      <xdr:nvGraphicFramePr>
        <xdr:cNvPr id="3" name="Chart 2">
          <a:extLst>
            <a:ext uri="{FF2B5EF4-FFF2-40B4-BE49-F238E27FC236}">
              <a16:creationId xmlns:a16="http://schemas.microsoft.com/office/drawing/2014/main" id="{6C710F99-C100-F85A-3BFA-CF1B15EAC2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7</xdr:col>
      <xdr:colOff>219075</xdr:colOff>
      <xdr:row>3</xdr:row>
      <xdr:rowOff>63500</xdr:rowOff>
    </xdr:from>
    <xdr:to>
      <xdr:col>13</xdr:col>
      <xdr:colOff>57150</xdr:colOff>
      <xdr:row>15</xdr:row>
      <xdr:rowOff>133350</xdr:rowOff>
    </xdr:to>
    <xdr:graphicFrame macro="">
      <xdr:nvGraphicFramePr>
        <xdr:cNvPr id="2" name="Chart 1">
          <a:extLst>
            <a:ext uri="{FF2B5EF4-FFF2-40B4-BE49-F238E27FC236}">
              <a16:creationId xmlns:a16="http://schemas.microsoft.com/office/drawing/2014/main" id="{8122FC17-C23F-A5FE-BECD-940E42054A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60255</xdr:rowOff>
    </xdr:from>
    <xdr:to>
      <xdr:col>15</xdr:col>
      <xdr:colOff>301077</xdr:colOff>
      <xdr:row>3</xdr:row>
      <xdr:rowOff>60255</xdr:rowOff>
    </xdr:to>
    <xdr:sp macro="" textlink="">
      <xdr:nvSpPr>
        <xdr:cNvPr id="2" name="Rectangle: Rounded Corners 1">
          <a:extLst>
            <a:ext uri="{FF2B5EF4-FFF2-40B4-BE49-F238E27FC236}">
              <a16:creationId xmlns:a16="http://schemas.microsoft.com/office/drawing/2014/main" id="{0DA0DF41-EF3C-3C89-CC63-4688E3560446}"/>
            </a:ext>
          </a:extLst>
        </xdr:cNvPr>
        <xdr:cNvSpPr/>
      </xdr:nvSpPr>
      <xdr:spPr>
        <a:xfrm>
          <a:off x="0" y="60255"/>
          <a:ext cx="9415517" cy="558362"/>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solidFill>
                <a:schemeClr val="bg1">
                  <a:lumMod val="95000"/>
                </a:schemeClr>
              </a:solidFill>
              <a:latin typeface="Times New Roman" panose="02020603050405020304" pitchFamily="18" charset="0"/>
              <a:cs typeface="Times New Roman" panose="02020603050405020304" pitchFamily="18" charset="0"/>
            </a:rPr>
            <a:t>ROAD TRANSPORT UNDERTAKINGS</a:t>
          </a:r>
        </a:p>
      </xdr:txBody>
    </xdr:sp>
    <xdr:clientData/>
  </xdr:twoCellAnchor>
  <xdr:twoCellAnchor editAs="oneCell">
    <xdr:from>
      <xdr:col>11</xdr:col>
      <xdr:colOff>159685</xdr:colOff>
      <xdr:row>0</xdr:row>
      <xdr:rowOff>111686</xdr:rowOff>
    </xdr:from>
    <xdr:to>
      <xdr:col>11</xdr:col>
      <xdr:colOff>549835</xdr:colOff>
      <xdr:row>2</xdr:row>
      <xdr:rowOff>139700</xdr:rowOff>
    </xdr:to>
    <xdr:pic>
      <xdr:nvPicPr>
        <xdr:cNvPr id="19" name="Picture 18">
          <a:hlinkClick xmlns:r="http://schemas.openxmlformats.org/officeDocument/2006/relationships" r:id="rId1"/>
          <a:extLst>
            <a:ext uri="{FF2B5EF4-FFF2-40B4-BE49-F238E27FC236}">
              <a16:creationId xmlns:a16="http://schemas.microsoft.com/office/drawing/2014/main" id="{F0C44AEE-CCDD-74F0-E3E9-92E189581C1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65285" y="111686"/>
          <a:ext cx="390150" cy="396314"/>
        </a:xfrm>
        <a:prstGeom prst="rect">
          <a:avLst/>
        </a:prstGeom>
      </xdr:spPr>
    </xdr:pic>
    <xdr:clientData/>
  </xdr:twoCellAnchor>
  <xdr:twoCellAnchor>
    <xdr:from>
      <xdr:col>0</xdr:col>
      <xdr:colOff>94153</xdr:colOff>
      <xdr:row>20</xdr:row>
      <xdr:rowOff>60216</xdr:rowOff>
    </xdr:from>
    <xdr:to>
      <xdr:col>3</xdr:col>
      <xdr:colOff>536464</xdr:colOff>
      <xdr:row>28</xdr:row>
      <xdr:rowOff>87587</xdr:rowOff>
    </xdr:to>
    <xdr:graphicFrame macro="">
      <xdr:nvGraphicFramePr>
        <xdr:cNvPr id="5" name="Chart 4">
          <a:extLst>
            <a:ext uri="{FF2B5EF4-FFF2-40B4-BE49-F238E27FC236}">
              <a16:creationId xmlns:a16="http://schemas.microsoft.com/office/drawing/2014/main" id="{897A2199-71FE-40CD-8412-0208EF59F5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432895</xdr:colOff>
      <xdr:row>4</xdr:row>
      <xdr:rowOff>26494</xdr:rowOff>
    </xdr:from>
    <xdr:to>
      <xdr:col>15</xdr:col>
      <xdr:colOff>493219</xdr:colOff>
      <xdr:row>22</xdr:row>
      <xdr:rowOff>131379</xdr:rowOff>
    </xdr:to>
    <xdr:graphicFrame macro="">
      <xdr:nvGraphicFramePr>
        <xdr:cNvPr id="7" name="Chart 6">
          <a:extLst>
            <a:ext uri="{FF2B5EF4-FFF2-40B4-BE49-F238E27FC236}">
              <a16:creationId xmlns:a16="http://schemas.microsoft.com/office/drawing/2014/main" id="{CAAEFADE-C953-4626-ACEC-AE4701A727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421509</xdr:colOff>
      <xdr:row>4</xdr:row>
      <xdr:rowOff>16203</xdr:rowOff>
    </xdr:from>
    <xdr:to>
      <xdr:col>12</xdr:col>
      <xdr:colOff>109483</xdr:colOff>
      <xdr:row>13</xdr:row>
      <xdr:rowOff>54303</xdr:rowOff>
    </xdr:to>
    <xdr:graphicFrame macro="">
      <xdr:nvGraphicFramePr>
        <xdr:cNvPr id="8" name="Chart 7">
          <a:extLst>
            <a:ext uri="{FF2B5EF4-FFF2-40B4-BE49-F238E27FC236}">
              <a16:creationId xmlns:a16="http://schemas.microsoft.com/office/drawing/2014/main" id="{E0AF7F83-B4CB-4262-963D-6BCCF250CB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105543</xdr:colOff>
      <xdr:row>4</xdr:row>
      <xdr:rowOff>35036</xdr:rowOff>
    </xdr:from>
    <xdr:to>
      <xdr:col>4</xdr:col>
      <xdr:colOff>509096</xdr:colOff>
      <xdr:row>20</xdr:row>
      <xdr:rowOff>27370</xdr:rowOff>
    </xdr:to>
    <xdr:graphicFrame macro="">
      <xdr:nvGraphicFramePr>
        <xdr:cNvPr id="9" name="Chart 8">
          <a:extLst>
            <a:ext uri="{FF2B5EF4-FFF2-40B4-BE49-F238E27FC236}">
              <a16:creationId xmlns:a16="http://schemas.microsoft.com/office/drawing/2014/main" id="{B9E03E57-7C15-460C-A119-D0114BF9FF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19050</xdr:colOff>
      <xdr:row>15</xdr:row>
      <xdr:rowOff>50800</xdr:rowOff>
    </xdr:from>
    <xdr:to>
      <xdr:col>7</xdr:col>
      <xdr:colOff>190500</xdr:colOff>
      <xdr:row>24</xdr:row>
      <xdr:rowOff>107950</xdr:rowOff>
    </xdr:to>
    <xdr:graphicFrame macro="">
      <xdr:nvGraphicFramePr>
        <xdr:cNvPr id="13" name="Chart 12">
          <a:extLst>
            <a:ext uri="{FF2B5EF4-FFF2-40B4-BE49-F238E27FC236}">
              <a16:creationId xmlns:a16="http://schemas.microsoft.com/office/drawing/2014/main" id="{C3BCC754-623F-4C64-8A5B-81B759F2FE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247432</xdr:colOff>
      <xdr:row>14</xdr:row>
      <xdr:rowOff>65252</xdr:rowOff>
    </xdr:from>
    <xdr:to>
      <xdr:col>11</xdr:col>
      <xdr:colOff>268233</xdr:colOff>
      <xdr:row>23</xdr:row>
      <xdr:rowOff>71602</xdr:rowOff>
    </xdr:to>
    <xdr:graphicFrame macro="">
      <xdr:nvGraphicFramePr>
        <xdr:cNvPr id="16" name="Chart 15">
          <a:extLst>
            <a:ext uri="{FF2B5EF4-FFF2-40B4-BE49-F238E27FC236}">
              <a16:creationId xmlns:a16="http://schemas.microsoft.com/office/drawing/2014/main" id="{E3DF914B-E5EA-4DF0-9B11-BDCED5CE36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8</xdr:col>
      <xdr:colOff>16203</xdr:colOff>
      <xdr:row>24</xdr:row>
      <xdr:rowOff>133129</xdr:rowOff>
    </xdr:from>
    <xdr:to>
      <xdr:col>11</xdr:col>
      <xdr:colOff>541940</xdr:colOff>
      <xdr:row>30</xdr:row>
      <xdr:rowOff>153276</xdr:rowOff>
    </xdr:to>
    <mc:AlternateContent xmlns:mc="http://schemas.openxmlformats.org/markup-compatibility/2006">
      <mc:Choice xmlns:a14="http://schemas.microsoft.com/office/drawing/2010/main" Requires="a14">
        <xdr:graphicFrame macro="">
          <xdr:nvGraphicFramePr>
            <xdr:cNvPr id="17" name="Year 1">
              <a:extLst>
                <a:ext uri="{FF2B5EF4-FFF2-40B4-BE49-F238E27FC236}">
                  <a16:creationId xmlns:a16="http://schemas.microsoft.com/office/drawing/2014/main" id="{4081F3BA-78F1-4D5C-9EB5-39FBE2AE867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4877237" y="4600026"/>
              <a:ext cx="2348625" cy="11368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574785</xdr:colOff>
      <xdr:row>24</xdr:row>
      <xdr:rowOff>136854</xdr:rowOff>
    </xdr:from>
    <xdr:to>
      <xdr:col>8</xdr:col>
      <xdr:colOff>21897</xdr:colOff>
      <xdr:row>30</xdr:row>
      <xdr:rowOff>155904</xdr:rowOff>
    </xdr:to>
    <mc:AlternateContent xmlns:mc="http://schemas.openxmlformats.org/markup-compatibility/2006">
      <mc:Choice xmlns:a14="http://schemas.microsoft.com/office/drawing/2010/main" Requires="a14">
        <xdr:graphicFrame macro="">
          <xdr:nvGraphicFramePr>
            <xdr:cNvPr id="20" name="SRTU 1">
              <a:extLst>
                <a:ext uri="{FF2B5EF4-FFF2-40B4-BE49-F238E27FC236}">
                  <a16:creationId xmlns:a16="http://schemas.microsoft.com/office/drawing/2014/main" id="{6560B9D6-E237-486D-B09B-D9103E93A485}"/>
                </a:ext>
              </a:extLst>
            </xdr:cNvPr>
            <xdr:cNvGraphicFramePr/>
          </xdr:nvGraphicFramePr>
          <xdr:xfrm>
            <a:off x="0" y="0"/>
            <a:ext cx="0" cy="0"/>
          </xdr:xfrm>
          <a:graphic>
            <a:graphicData uri="http://schemas.microsoft.com/office/drawing/2010/slicer">
              <sle:slicer xmlns:sle="http://schemas.microsoft.com/office/drawing/2010/slicer" name="SRTU 1"/>
            </a:graphicData>
          </a:graphic>
        </xdr:graphicFrame>
      </mc:Choice>
      <mc:Fallback>
        <xdr:sp macro="" textlink="">
          <xdr:nvSpPr>
            <xdr:cNvPr id="0" name=""/>
            <xdr:cNvSpPr>
              <a:spLocks noTextEdit="1"/>
            </xdr:cNvSpPr>
          </xdr:nvSpPr>
          <xdr:spPr>
            <a:xfrm>
              <a:off x="2397673" y="4603751"/>
              <a:ext cx="2485258" cy="11357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487200</xdr:colOff>
      <xdr:row>24</xdr:row>
      <xdr:rowOff>131381</xdr:rowOff>
    </xdr:from>
    <xdr:to>
      <xdr:col>16</xdr:col>
      <xdr:colOff>229914</xdr:colOff>
      <xdr:row>30</xdr:row>
      <xdr:rowOff>153277</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DBF4C403-F4BF-4225-8CA6-C1CFEB066A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7171122" y="4598278"/>
              <a:ext cx="2780861" cy="11386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12</xdr:col>
      <xdr:colOff>580259</xdr:colOff>
      <xdr:row>0</xdr:row>
      <xdr:rowOff>54741</xdr:rowOff>
    </xdr:from>
    <xdr:to>
      <xdr:col>13</xdr:col>
      <xdr:colOff>459828</xdr:colOff>
      <xdr:row>2</xdr:row>
      <xdr:rowOff>169698</xdr:rowOff>
    </xdr:to>
    <xdr:pic>
      <xdr:nvPicPr>
        <xdr:cNvPr id="10" name="Graphic 9" descr="Home with solid fill">
          <a:hlinkClick xmlns:r="http://schemas.openxmlformats.org/officeDocument/2006/relationships" r:id="rId10"/>
          <a:extLst>
            <a:ext uri="{FF2B5EF4-FFF2-40B4-BE49-F238E27FC236}">
              <a16:creationId xmlns:a16="http://schemas.microsoft.com/office/drawing/2014/main" id="{4E2C07E5-9F35-B15F-5BDD-07AF5B5A143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71811" y="54741"/>
          <a:ext cx="487198" cy="487198"/>
        </a:xfrm>
        <a:prstGeom prst="rect">
          <a:avLst/>
        </a:prstGeom>
      </xdr:spPr>
    </xdr:pic>
    <xdr:clientData/>
  </xdr:twoCellAnchor>
  <xdr:twoCellAnchor>
    <xdr:from>
      <xdr:col>5</xdr:col>
      <xdr:colOff>32844</xdr:colOff>
      <xdr:row>3</xdr:row>
      <xdr:rowOff>136854</xdr:rowOff>
    </xdr:from>
    <xdr:to>
      <xdr:col>8</xdr:col>
      <xdr:colOff>350344</xdr:colOff>
      <xdr:row>13</xdr:row>
      <xdr:rowOff>5474</xdr:rowOff>
    </xdr:to>
    <xdr:graphicFrame macro="">
      <xdr:nvGraphicFramePr>
        <xdr:cNvPr id="11" name="Chart 10">
          <a:extLst>
            <a:ext uri="{FF2B5EF4-FFF2-40B4-BE49-F238E27FC236}">
              <a16:creationId xmlns:a16="http://schemas.microsoft.com/office/drawing/2014/main" id="{BB698C8A-DAC4-46EE-B0DF-A266E9EA9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63500</xdr:colOff>
      <xdr:row>4</xdr:row>
      <xdr:rowOff>114300</xdr:rowOff>
    </xdr:from>
    <xdr:to>
      <xdr:col>2</xdr:col>
      <xdr:colOff>501650</xdr:colOff>
      <xdr:row>10</xdr:row>
      <xdr:rowOff>82550</xdr:rowOff>
    </xdr:to>
    <xdr:sp macro="" textlink="">
      <xdr:nvSpPr>
        <xdr:cNvPr id="2" name="Rectangle: Rounded Corners 1">
          <a:extLst>
            <a:ext uri="{FF2B5EF4-FFF2-40B4-BE49-F238E27FC236}">
              <a16:creationId xmlns:a16="http://schemas.microsoft.com/office/drawing/2014/main" id="{0ABEF69A-D5A2-0A27-4BC1-6F93BB975713}"/>
            </a:ext>
          </a:extLst>
        </xdr:cNvPr>
        <xdr:cNvSpPr/>
      </xdr:nvSpPr>
      <xdr:spPr>
        <a:xfrm>
          <a:off x="63500" y="850900"/>
          <a:ext cx="2768600" cy="1073150"/>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bg1">
                  <a:lumMod val="95000"/>
                </a:schemeClr>
              </a:solidFill>
              <a:latin typeface="Times New Roman" panose="02020603050405020304" pitchFamily="18" charset="0"/>
              <a:cs typeface="Times New Roman" panose="02020603050405020304" pitchFamily="18" charset="0"/>
            </a:rPr>
            <a:t>Total Passengers</a:t>
          </a:r>
          <a:r>
            <a:rPr lang="en-IN" sz="1800" b="1" baseline="0">
              <a:solidFill>
                <a:schemeClr val="bg1">
                  <a:lumMod val="95000"/>
                </a:schemeClr>
              </a:solidFill>
              <a:latin typeface="Times New Roman" panose="02020603050405020304" pitchFamily="18" charset="0"/>
              <a:cs typeface="Times New Roman" panose="02020603050405020304" pitchFamily="18" charset="0"/>
            </a:rPr>
            <a:t> Carried</a:t>
          </a:r>
          <a:endParaRPr lang="en-IN" sz="1800" b="1">
            <a:solidFill>
              <a:schemeClr val="bg1">
                <a:lumMod val="95000"/>
              </a:schemeClr>
            </a:solidFill>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241300</xdr:colOff>
      <xdr:row>6</xdr:row>
      <xdr:rowOff>177800</xdr:rowOff>
    </xdr:from>
    <xdr:to>
      <xdr:col>0</xdr:col>
      <xdr:colOff>723900</xdr:colOff>
      <xdr:row>9</xdr:row>
      <xdr:rowOff>107950</xdr:rowOff>
    </xdr:to>
    <xdr:pic macro="[0]!Macro1">
      <xdr:nvPicPr>
        <xdr:cNvPr id="4" name="Graphic 3" descr="Group of women with solid fill">
          <a:extLst>
            <a:ext uri="{FF2B5EF4-FFF2-40B4-BE49-F238E27FC236}">
              <a16:creationId xmlns:a16="http://schemas.microsoft.com/office/drawing/2014/main" id="{1F2DB599-DFA0-DCA6-FADA-73DF865F96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41300" y="1282700"/>
          <a:ext cx="482600" cy="482600"/>
        </a:xfrm>
        <a:prstGeom prst="rect">
          <a:avLst/>
        </a:prstGeom>
      </xdr:spPr>
    </xdr:pic>
    <xdr:clientData/>
  </xdr:twoCellAnchor>
  <xdr:twoCellAnchor>
    <xdr:from>
      <xdr:col>2</xdr:col>
      <xdr:colOff>666750</xdr:colOff>
      <xdr:row>4</xdr:row>
      <xdr:rowOff>82550</xdr:rowOff>
    </xdr:from>
    <xdr:to>
      <xdr:col>6</xdr:col>
      <xdr:colOff>552450</xdr:colOff>
      <xdr:row>10</xdr:row>
      <xdr:rowOff>50800</xdr:rowOff>
    </xdr:to>
    <xdr:sp macro="" textlink="">
      <xdr:nvSpPr>
        <xdr:cNvPr id="8" name="Rectangle: Rounded Corners 7">
          <a:extLst>
            <a:ext uri="{FF2B5EF4-FFF2-40B4-BE49-F238E27FC236}">
              <a16:creationId xmlns:a16="http://schemas.microsoft.com/office/drawing/2014/main" id="{9EF8C6DA-3A90-435B-9ED5-C84537788B21}"/>
            </a:ext>
          </a:extLst>
        </xdr:cNvPr>
        <xdr:cNvSpPr/>
      </xdr:nvSpPr>
      <xdr:spPr>
        <a:xfrm>
          <a:off x="2997200" y="819150"/>
          <a:ext cx="2476500" cy="1073150"/>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bg1">
                  <a:lumMod val="95000"/>
                </a:schemeClr>
              </a:solidFill>
              <a:latin typeface="Times New Roman" panose="02020603050405020304" pitchFamily="18" charset="0"/>
              <a:cs typeface="Times New Roman" panose="02020603050405020304" pitchFamily="18" charset="0"/>
            </a:rPr>
            <a:t>Total Fleet Held</a:t>
          </a:r>
        </a:p>
      </xdr:txBody>
    </xdr:sp>
    <xdr:clientData/>
  </xdr:twoCellAnchor>
  <xdr:twoCellAnchor editAs="oneCell">
    <xdr:from>
      <xdr:col>3</xdr:col>
      <xdr:colOff>63500</xdr:colOff>
      <xdr:row>6</xdr:row>
      <xdr:rowOff>88900</xdr:rowOff>
    </xdr:from>
    <xdr:to>
      <xdr:col>4</xdr:col>
      <xdr:colOff>50800</xdr:colOff>
      <xdr:row>9</xdr:row>
      <xdr:rowOff>133350</xdr:rowOff>
    </xdr:to>
    <xdr:pic macro="[0]!Macro2">
      <xdr:nvPicPr>
        <xdr:cNvPr id="10" name="Graphic 9" descr="Bus with solid fill">
          <a:extLst>
            <a:ext uri="{FF2B5EF4-FFF2-40B4-BE49-F238E27FC236}">
              <a16:creationId xmlns:a16="http://schemas.microsoft.com/office/drawing/2014/main" id="{DD607E51-51A5-6BE5-E029-66EE4B7F174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155950" y="1193800"/>
          <a:ext cx="596900" cy="596900"/>
        </a:xfrm>
        <a:prstGeom prst="rect">
          <a:avLst/>
        </a:prstGeom>
      </xdr:spPr>
    </xdr:pic>
    <xdr:clientData/>
  </xdr:twoCellAnchor>
  <xdr:twoCellAnchor>
    <xdr:from>
      <xdr:col>0</xdr:col>
      <xdr:colOff>82550</xdr:colOff>
      <xdr:row>0</xdr:row>
      <xdr:rowOff>88900</xdr:rowOff>
    </xdr:from>
    <xdr:to>
      <xdr:col>16</xdr:col>
      <xdr:colOff>101600</xdr:colOff>
      <xdr:row>3</xdr:row>
      <xdr:rowOff>107950</xdr:rowOff>
    </xdr:to>
    <xdr:sp macro="" textlink="">
      <xdr:nvSpPr>
        <xdr:cNvPr id="11" name="Rectangle: Rounded Corners 10">
          <a:hlinkClick xmlns:r="http://schemas.openxmlformats.org/officeDocument/2006/relationships" r:id="rId5"/>
          <a:extLst>
            <a:ext uri="{FF2B5EF4-FFF2-40B4-BE49-F238E27FC236}">
              <a16:creationId xmlns:a16="http://schemas.microsoft.com/office/drawing/2014/main" id="{43D3C618-831C-42DE-BC5B-F92C5A4425DF}"/>
            </a:ext>
          </a:extLst>
        </xdr:cNvPr>
        <xdr:cNvSpPr/>
      </xdr:nvSpPr>
      <xdr:spPr>
        <a:xfrm>
          <a:off x="82550" y="88900"/>
          <a:ext cx="11036300" cy="571500"/>
        </a:xfrm>
        <a:prstGeom prst="roundRect">
          <a:avLst/>
        </a:prstGeom>
        <a:solidFill>
          <a:schemeClr val="tx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127000</xdr:colOff>
      <xdr:row>4</xdr:row>
      <xdr:rowOff>69850</xdr:rowOff>
    </xdr:from>
    <xdr:to>
      <xdr:col>11</xdr:col>
      <xdr:colOff>298450</xdr:colOff>
      <xdr:row>10</xdr:row>
      <xdr:rowOff>38100</xdr:rowOff>
    </xdr:to>
    <xdr:sp macro="" textlink="">
      <xdr:nvSpPr>
        <xdr:cNvPr id="27" name="Rectangle: Rounded Corners 26">
          <a:extLst>
            <a:ext uri="{FF2B5EF4-FFF2-40B4-BE49-F238E27FC236}">
              <a16:creationId xmlns:a16="http://schemas.microsoft.com/office/drawing/2014/main" id="{04195E03-B029-41BE-9698-163E8834573B}"/>
            </a:ext>
          </a:extLst>
        </xdr:cNvPr>
        <xdr:cNvSpPr/>
      </xdr:nvSpPr>
      <xdr:spPr>
        <a:xfrm>
          <a:off x="5657850" y="806450"/>
          <a:ext cx="2609850" cy="1073150"/>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bg1">
                  <a:lumMod val="95000"/>
                </a:schemeClr>
              </a:solidFill>
              <a:latin typeface="Times New Roman" panose="02020603050405020304" pitchFamily="18" charset="0"/>
              <a:cs typeface="Times New Roman" panose="02020603050405020304" pitchFamily="18" charset="0"/>
            </a:rPr>
            <a:t>Avg</a:t>
          </a:r>
          <a:r>
            <a:rPr lang="en-IN" sz="1800" b="1" baseline="0">
              <a:solidFill>
                <a:schemeClr val="bg1">
                  <a:lumMod val="95000"/>
                </a:schemeClr>
              </a:solidFill>
              <a:latin typeface="Times New Roman" panose="02020603050405020304" pitchFamily="18" charset="0"/>
              <a:cs typeface="Times New Roman" panose="02020603050405020304" pitchFamily="18" charset="0"/>
            </a:rPr>
            <a:t> Fuel Efficiency</a:t>
          </a:r>
          <a:endParaRPr lang="en-IN" sz="1800" b="1">
            <a:solidFill>
              <a:schemeClr val="bg1">
                <a:lumMod val="95000"/>
              </a:schemeClr>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323850</xdr:colOff>
      <xdr:row>6</xdr:row>
      <xdr:rowOff>101600</xdr:rowOff>
    </xdr:from>
    <xdr:to>
      <xdr:col>8</xdr:col>
      <xdr:colOff>336550</xdr:colOff>
      <xdr:row>9</xdr:row>
      <xdr:rowOff>171450</xdr:rowOff>
    </xdr:to>
    <xdr:pic macro="[0]!Macro3">
      <xdr:nvPicPr>
        <xdr:cNvPr id="29" name="Graphic 28" descr="Gauge with solid fill">
          <a:extLst>
            <a:ext uri="{FF2B5EF4-FFF2-40B4-BE49-F238E27FC236}">
              <a16:creationId xmlns:a16="http://schemas.microsoft.com/office/drawing/2014/main" id="{9BF23369-8C36-C50C-0DBD-9C30B61C3E3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54700" y="1206500"/>
          <a:ext cx="622300" cy="622300"/>
        </a:xfrm>
        <a:prstGeom prst="rect">
          <a:avLst/>
        </a:prstGeom>
      </xdr:spPr>
    </xdr:pic>
    <xdr:clientData/>
  </xdr:twoCellAnchor>
  <xdr:twoCellAnchor>
    <xdr:from>
      <xdr:col>11</xdr:col>
      <xdr:colOff>482600</xdr:colOff>
      <xdr:row>4</xdr:row>
      <xdr:rowOff>63500</xdr:rowOff>
    </xdr:from>
    <xdr:to>
      <xdr:col>16</xdr:col>
      <xdr:colOff>139700</xdr:colOff>
      <xdr:row>10</xdr:row>
      <xdr:rowOff>31750</xdr:rowOff>
    </xdr:to>
    <xdr:sp macro="" textlink="">
      <xdr:nvSpPr>
        <xdr:cNvPr id="32" name="Rectangle: Rounded Corners 31">
          <a:extLst>
            <a:ext uri="{FF2B5EF4-FFF2-40B4-BE49-F238E27FC236}">
              <a16:creationId xmlns:a16="http://schemas.microsoft.com/office/drawing/2014/main" id="{7714A809-3D06-47F0-81F6-704306385190}"/>
            </a:ext>
          </a:extLst>
        </xdr:cNvPr>
        <xdr:cNvSpPr/>
      </xdr:nvSpPr>
      <xdr:spPr>
        <a:xfrm>
          <a:off x="8451850" y="800100"/>
          <a:ext cx="2705100" cy="1073150"/>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bg1">
                  <a:lumMod val="95000"/>
                </a:schemeClr>
              </a:solidFill>
            </a:rPr>
            <a:t>Passenger KM Performed</a:t>
          </a:r>
          <a:endParaRPr lang="en-IN" sz="1800" b="1">
            <a:solidFill>
              <a:schemeClr val="bg1">
                <a:lumMod val="95000"/>
              </a:schemeClr>
            </a:solidFill>
            <a:latin typeface="Times New Roman" panose="02020603050405020304" pitchFamily="18" charset="0"/>
            <a:cs typeface="Times New Roman" panose="02020603050405020304" pitchFamily="18" charset="0"/>
          </a:endParaRPr>
        </a:p>
      </xdr:txBody>
    </xdr:sp>
    <xdr:clientData/>
  </xdr:twoCellAnchor>
  <xdr:twoCellAnchor editAs="oneCell">
    <xdr:from>
      <xdr:col>11</xdr:col>
      <xdr:colOff>603250</xdr:colOff>
      <xdr:row>7</xdr:row>
      <xdr:rowOff>25400</xdr:rowOff>
    </xdr:from>
    <xdr:to>
      <xdr:col>12</xdr:col>
      <xdr:colOff>514350</xdr:colOff>
      <xdr:row>9</xdr:row>
      <xdr:rowOff>177800</xdr:rowOff>
    </xdr:to>
    <xdr:pic macro="[0]!Macro4">
      <xdr:nvPicPr>
        <xdr:cNvPr id="35" name="Graphic 34" descr="Ruler with solid fill">
          <a:extLst>
            <a:ext uri="{FF2B5EF4-FFF2-40B4-BE49-F238E27FC236}">
              <a16:creationId xmlns:a16="http://schemas.microsoft.com/office/drawing/2014/main" id="{5E0EDA3F-A2B5-89B1-539D-95960DB1AD4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8572500" y="1314450"/>
          <a:ext cx="520700" cy="520700"/>
        </a:xfrm>
        <a:prstGeom prst="rect">
          <a:avLst/>
        </a:prstGeom>
      </xdr:spPr>
    </xdr:pic>
    <xdr:clientData/>
  </xdr:twoCellAnchor>
  <xdr:twoCellAnchor>
    <xdr:from>
      <xdr:col>0</xdr:col>
      <xdr:colOff>120650</xdr:colOff>
      <xdr:row>11</xdr:row>
      <xdr:rowOff>31750</xdr:rowOff>
    </xdr:from>
    <xdr:to>
      <xdr:col>2</xdr:col>
      <xdr:colOff>495300</xdr:colOff>
      <xdr:row>17</xdr:row>
      <xdr:rowOff>0</xdr:rowOff>
    </xdr:to>
    <xdr:sp macro="" textlink="">
      <xdr:nvSpPr>
        <xdr:cNvPr id="38" name="Rectangle: Rounded Corners 37">
          <a:extLst>
            <a:ext uri="{FF2B5EF4-FFF2-40B4-BE49-F238E27FC236}">
              <a16:creationId xmlns:a16="http://schemas.microsoft.com/office/drawing/2014/main" id="{3655A920-F48D-4E27-9223-DA6084C3C532}"/>
            </a:ext>
          </a:extLst>
        </xdr:cNvPr>
        <xdr:cNvSpPr/>
      </xdr:nvSpPr>
      <xdr:spPr>
        <a:xfrm>
          <a:off x="120650" y="2057400"/>
          <a:ext cx="2705100" cy="1073150"/>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bg1">
                  <a:lumMod val="95000"/>
                </a:schemeClr>
              </a:solidFill>
            </a:rPr>
            <a:t>Average Fleet Age</a:t>
          </a:r>
          <a:endParaRPr lang="en-IN" sz="1800" b="1">
            <a:solidFill>
              <a:schemeClr val="bg1">
                <a:lumMod val="95000"/>
              </a:schemeClr>
            </a:solidFill>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241300</xdr:colOff>
      <xdr:row>13</xdr:row>
      <xdr:rowOff>114300</xdr:rowOff>
    </xdr:from>
    <xdr:to>
      <xdr:col>0</xdr:col>
      <xdr:colOff>685800</xdr:colOff>
      <xdr:row>16</xdr:row>
      <xdr:rowOff>6350</xdr:rowOff>
    </xdr:to>
    <xdr:pic macro="[0]!Macro5">
      <xdr:nvPicPr>
        <xdr:cNvPr id="40" name="Graphic 39" descr="Hourglass Finished with solid fill">
          <a:extLst>
            <a:ext uri="{FF2B5EF4-FFF2-40B4-BE49-F238E27FC236}">
              <a16:creationId xmlns:a16="http://schemas.microsoft.com/office/drawing/2014/main" id="{1B93CC7E-A841-8BE7-ED48-28952B56B98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41300" y="2508250"/>
          <a:ext cx="444500" cy="444500"/>
        </a:xfrm>
        <a:prstGeom prst="rect">
          <a:avLst/>
        </a:prstGeom>
      </xdr:spPr>
    </xdr:pic>
    <xdr:clientData/>
  </xdr:twoCellAnchor>
  <xdr:twoCellAnchor>
    <xdr:from>
      <xdr:col>2</xdr:col>
      <xdr:colOff>685800</xdr:colOff>
      <xdr:row>11</xdr:row>
      <xdr:rowOff>19050</xdr:rowOff>
    </xdr:from>
    <xdr:to>
      <xdr:col>6</xdr:col>
      <xdr:colOff>558800</xdr:colOff>
      <xdr:row>16</xdr:row>
      <xdr:rowOff>171450</xdr:rowOff>
    </xdr:to>
    <xdr:sp macro="" textlink="">
      <xdr:nvSpPr>
        <xdr:cNvPr id="50" name="Rectangle: Rounded Corners 49">
          <a:extLst>
            <a:ext uri="{FF2B5EF4-FFF2-40B4-BE49-F238E27FC236}">
              <a16:creationId xmlns:a16="http://schemas.microsoft.com/office/drawing/2014/main" id="{D0EE5AC6-FA78-49F5-AF1B-2A456608CCDB}"/>
            </a:ext>
          </a:extLst>
        </xdr:cNvPr>
        <xdr:cNvSpPr/>
      </xdr:nvSpPr>
      <xdr:spPr>
        <a:xfrm>
          <a:off x="3016250" y="2044700"/>
          <a:ext cx="2463800" cy="1073150"/>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bg1">
                  <a:lumMod val="95000"/>
                </a:schemeClr>
              </a:solidFill>
              <a:latin typeface="+mn-lt"/>
              <a:cs typeface="+mn-cs"/>
            </a:rPr>
            <a:t>Staff</a:t>
          </a:r>
          <a:r>
            <a:rPr lang="en-IN" sz="1800" b="1" baseline="0">
              <a:solidFill>
                <a:schemeClr val="bg1">
                  <a:lumMod val="95000"/>
                </a:schemeClr>
              </a:solidFill>
              <a:latin typeface="+mn-lt"/>
              <a:cs typeface="+mn-cs"/>
            </a:rPr>
            <a:t> Strength</a:t>
          </a:r>
          <a:endParaRPr lang="en-IN" sz="1800" b="1">
            <a:solidFill>
              <a:schemeClr val="bg1">
                <a:lumMod val="95000"/>
              </a:schemeClr>
            </a:solidFill>
            <a:latin typeface="Times New Roman" panose="02020603050405020304" pitchFamily="18" charset="0"/>
            <a:cs typeface="Times New Roman" panose="02020603050405020304" pitchFamily="18" charset="0"/>
          </a:endParaRPr>
        </a:p>
      </xdr:txBody>
    </xdr:sp>
    <xdr:clientData/>
  </xdr:twoCellAnchor>
  <xdr:twoCellAnchor editAs="oneCell">
    <xdr:from>
      <xdr:col>2</xdr:col>
      <xdr:colOff>736600</xdr:colOff>
      <xdr:row>13</xdr:row>
      <xdr:rowOff>114300</xdr:rowOff>
    </xdr:from>
    <xdr:to>
      <xdr:col>3</xdr:col>
      <xdr:colOff>482600</xdr:colOff>
      <xdr:row>16</xdr:row>
      <xdr:rowOff>69850</xdr:rowOff>
    </xdr:to>
    <xdr:pic macro="[0]!Macro7">
      <xdr:nvPicPr>
        <xdr:cNvPr id="52" name="Graphic 51" descr="Male profile with solid fill">
          <a:extLst>
            <a:ext uri="{FF2B5EF4-FFF2-40B4-BE49-F238E27FC236}">
              <a16:creationId xmlns:a16="http://schemas.microsoft.com/office/drawing/2014/main" id="{C994F328-5934-AA72-A0A1-CB6D72A7C66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3067050" y="2508250"/>
          <a:ext cx="508000" cy="508000"/>
        </a:xfrm>
        <a:prstGeom prst="rect">
          <a:avLst/>
        </a:prstGeom>
      </xdr:spPr>
    </xdr:pic>
    <xdr:clientData/>
  </xdr:twoCellAnchor>
  <xdr:twoCellAnchor>
    <xdr:from>
      <xdr:col>7</xdr:col>
      <xdr:colOff>139700</xdr:colOff>
      <xdr:row>11</xdr:row>
      <xdr:rowOff>31750</xdr:rowOff>
    </xdr:from>
    <xdr:to>
      <xdr:col>11</xdr:col>
      <xdr:colOff>241300</xdr:colOff>
      <xdr:row>17</xdr:row>
      <xdr:rowOff>0</xdr:rowOff>
    </xdr:to>
    <xdr:sp macro="" textlink="">
      <xdr:nvSpPr>
        <xdr:cNvPr id="59" name="Rectangle: Rounded Corners 58">
          <a:extLst>
            <a:ext uri="{FF2B5EF4-FFF2-40B4-BE49-F238E27FC236}">
              <a16:creationId xmlns:a16="http://schemas.microsoft.com/office/drawing/2014/main" id="{5FFF8E17-5C14-4C88-9211-F18B98403C0A}"/>
            </a:ext>
          </a:extLst>
        </xdr:cNvPr>
        <xdr:cNvSpPr/>
      </xdr:nvSpPr>
      <xdr:spPr>
        <a:xfrm>
          <a:off x="5670550" y="2057400"/>
          <a:ext cx="2540000" cy="1073150"/>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bg1">
                  <a:lumMod val="95000"/>
                </a:schemeClr>
              </a:solidFill>
            </a:rPr>
            <a:t>Top Performing SRTU</a:t>
          </a:r>
          <a:endParaRPr lang="en-IN" sz="1800">
            <a:solidFill>
              <a:schemeClr val="bg1">
                <a:lumMod val="95000"/>
              </a:schemeClr>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565150</xdr:colOff>
      <xdr:row>11</xdr:row>
      <xdr:rowOff>57150</xdr:rowOff>
    </xdr:from>
    <xdr:to>
      <xdr:col>16</xdr:col>
      <xdr:colOff>184150</xdr:colOff>
      <xdr:row>17</xdr:row>
      <xdr:rowOff>25400</xdr:rowOff>
    </xdr:to>
    <xdr:sp macro="" textlink="">
      <xdr:nvSpPr>
        <xdr:cNvPr id="60" name="Rectangle: Rounded Corners 59">
          <a:extLst>
            <a:ext uri="{FF2B5EF4-FFF2-40B4-BE49-F238E27FC236}">
              <a16:creationId xmlns:a16="http://schemas.microsoft.com/office/drawing/2014/main" id="{46FB6044-0E3C-4606-AC80-C4D812A73F3D}"/>
            </a:ext>
          </a:extLst>
        </xdr:cNvPr>
        <xdr:cNvSpPr/>
      </xdr:nvSpPr>
      <xdr:spPr>
        <a:xfrm>
          <a:off x="8534400" y="2082800"/>
          <a:ext cx="2667000" cy="1073150"/>
        </a:xfrm>
        <a:prstGeom prst="roundRect">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a:solidFill>
                <a:schemeClr val="bg1">
                  <a:lumMod val="95000"/>
                </a:schemeClr>
              </a:solidFill>
            </a:rPr>
            <a:t>Underperforming SRTUs</a:t>
          </a:r>
          <a:endParaRPr lang="en-IN" sz="1800" b="1">
            <a:solidFill>
              <a:schemeClr val="bg1">
                <a:lumMod val="95000"/>
              </a:schemeClr>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336550</xdr:colOff>
      <xdr:row>13</xdr:row>
      <xdr:rowOff>69850</xdr:rowOff>
    </xdr:from>
    <xdr:to>
      <xdr:col>8</xdr:col>
      <xdr:colOff>247650</xdr:colOff>
      <xdr:row>16</xdr:row>
      <xdr:rowOff>38100</xdr:rowOff>
    </xdr:to>
    <xdr:pic macro="[0]!Macro8">
      <xdr:nvPicPr>
        <xdr:cNvPr id="62" name="Graphic 61" descr="Trophy with solid fill">
          <a:extLst>
            <a:ext uri="{FF2B5EF4-FFF2-40B4-BE49-F238E27FC236}">
              <a16:creationId xmlns:a16="http://schemas.microsoft.com/office/drawing/2014/main" id="{68F70D46-40AD-850A-0CA1-C222281A56B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867400" y="2463800"/>
          <a:ext cx="520700" cy="520700"/>
        </a:xfrm>
        <a:prstGeom prst="rect">
          <a:avLst/>
        </a:prstGeom>
      </xdr:spPr>
    </xdr:pic>
    <xdr:clientData/>
  </xdr:twoCellAnchor>
  <xdr:twoCellAnchor editAs="oneCell">
    <xdr:from>
      <xdr:col>12</xdr:col>
      <xdr:colOff>114300</xdr:colOff>
      <xdr:row>13</xdr:row>
      <xdr:rowOff>107951</xdr:rowOff>
    </xdr:from>
    <xdr:to>
      <xdr:col>12</xdr:col>
      <xdr:colOff>584200</xdr:colOff>
      <xdr:row>15</xdr:row>
      <xdr:rowOff>177800</xdr:rowOff>
    </xdr:to>
    <xdr:pic macro="[0]!Macro10">
      <xdr:nvPicPr>
        <xdr:cNvPr id="66" name="Graphic 65" descr="Warning with solid fill">
          <a:extLst>
            <a:ext uri="{FF2B5EF4-FFF2-40B4-BE49-F238E27FC236}">
              <a16:creationId xmlns:a16="http://schemas.microsoft.com/office/drawing/2014/main" id="{A05E8DD6-E1C2-952F-DFDA-8C1C3D84A7F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93150" y="2501901"/>
          <a:ext cx="469900" cy="438149"/>
        </a:xfrm>
        <a:prstGeom prst="rect">
          <a:avLst/>
        </a:prstGeom>
      </xdr:spPr>
    </xdr:pic>
    <xdr:clientData/>
  </xdr:twoCellAnchor>
  <xdr:twoCellAnchor editAs="oneCell">
    <xdr:from>
      <xdr:col>0</xdr:col>
      <xdr:colOff>615950</xdr:colOff>
      <xdr:row>0</xdr:row>
      <xdr:rowOff>95250</xdr:rowOff>
    </xdr:from>
    <xdr:to>
      <xdr:col>0</xdr:col>
      <xdr:colOff>1136650</xdr:colOff>
      <xdr:row>3</xdr:row>
      <xdr:rowOff>63500</xdr:rowOff>
    </xdr:to>
    <xdr:pic>
      <xdr:nvPicPr>
        <xdr:cNvPr id="70" name="Graphic 69" descr="Database with solid fill">
          <a:hlinkClick xmlns:r="http://schemas.openxmlformats.org/officeDocument/2006/relationships" r:id="rId18"/>
          <a:extLst>
            <a:ext uri="{FF2B5EF4-FFF2-40B4-BE49-F238E27FC236}">
              <a16:creationId xmlns:a16="http://schemas.microsoft.com/office/drawing/2014/main" id="{CBB44DC7-9DE0-3CFB-181F-83DA746E1AE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15950" y="95250"/>
          <a:ext cx="520700" cy="520700"/>
        </a:xfrm>
        <a:prstGeom prst="rect">
          <a:avLst/>
        </a:prstGeom>
      </xdr:spPr>
    </xdr:pic>
    <xdr:clientData/>
  </xdr:twoCellAnchor>
  <xdr:twoCellAnchor editAs="oneCell">
    <xdr:from>
      <xdr:col>1</xdr:col>
      <xdr:colOff>38100</xdr:colOff>
      <xdr:row>0</xdr:row>
      <xdr:rowOff>139701</xdr:rowOff>
    </xdr:from>
    <xdr:to>
      <xdr:col>1</xdr:col>
      <xdr:colOff>527050</xdr:colOff>
      <xdr:row>3</xdr:row>
      <xdr:rowOff>21873</xdr:rowOff>
    </xdr:to>
    <xdr:pic>
      <xdr:nvPicPr>
        <xdr:cNvPr id="72" name="Graphic 71">
          <a:extLst>
            <a:ext uri="{FF2B5EF4-FFF2-40B4-BE49-F238E27FC236}">
              <a16:creationId xmlns:a16="http://schemas.microsoft.com/office/drawing/2014/main" id="{14B3BC52-8AE1-F888-65F5-39BEB1C19EC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758950" y="139701"/>
          <a:ext cx="488950" cy="434622"/>
        </a:xfrm>
        <a:prstGeom prst="rect">
          <a:avLst/>
        </a:prstGeom>
      </xdr:spPr>
    </xdr:pic>
    <xdr:clientData/>
  </xdr:twoCellAnchor>
  <xdr:twoCellAnchor editAs="oneCell">
    <xdr:from>
      <xdr:col>2</xdr:col>
      <xdr:colOff>609600</xdr:colOff>
      <xdr:row>0</xdr:row>
      <xdr:rowOff>107950</xdr:rowOff>
    </xdr:from>
    <xdr:to>
      <xdr:col>3</xdr:col>
      <xdr:colOff>374650</xdr:colOff>
      <xdr:row>3</xdr:row>
      <xdr:rowOff>82550</xdr:rowOff>
    </xdr:to>
    <xdr:pic>
      <xdr:nvPicPr>
        <xdr:cNvPr id="75" name="Graphic 74" descr="Bar chart with solid fill">
          <a:hlinkClick xmlns:r="http://schemas.openxmlformats.org/officeDocument/2006/relationships" r:id="rId23"/>
          <a:extLst>
            <a:ext uri="{FF2B5EF4-FFF2-40B4-BE49-F238E27FC236}">
              <a16:creationId xmlns:a16="http://schemas.microsoft.com/office/drawing/2014/main" id="{45EFB5CE-8ECA-4F89-FA55-674B680E42F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940050" y="107950"/>
          <a:ext cx="527050" cy="527050"/>
        </a:xfrm>
        <a:prstGeom prst="rect">
          <a:avLst/>
        </a:prstGeom>
      </xdr:spPr>
    </xdr:pic>
    <xdr:clientData/>
  </xdr:twoCellAnchor>
  <xdr:twoCellAnchor>
    <xdr:from>
      <xdr:col>6</xdr:col>
      <xdr:colOff>425450</xdr:colOff>
      <xdr:row>0</xdr:row>
      <xdr:rowOff>44450</xdr:rowOff>
    </xdr:from>
    <xdr:to>
      <xdr:col>8</xdr:col>
      <xdr:colOff>552450</xdr:colOff>
      <xdr:row>3</xdr:row>
      <xdr:rowOff>76200</xdr:rowOff>
    </xdr:to>
    <xdr:sp macro="" textlink="">
      <xdr:nvSpPr>
        <xdr:cNvPr id="17" name="TextBox 16">
          <a:extLst>
            <a:ext uri="{FF2B5EF4-FFF2-40B4-BE49-F238E27FC236}">
              <a16:creationId xmlns:a16="http://schemas.microsoft.com/office/drawing/2014/main" id="{8AED70AA-7E79-B9A4-AA53-0E87A0C16445}"/>
            </a:ext>
          </a:extLst>
        </xdr:cNvPr>
        <xdr:cNvSpPr txBox="1"/>
      </xdr:nvSpPr>
      <xdr:spPr>
        <a:xfrm>
          <a:off x="5346700" y="44450"/>
          <a:ext cx="1346200"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600">
              <a:solidFill>
                <a:srgbClr val="FFFF00"/>
              </a:solidFill>
              <a:latin typeface="Times New Roman" panose="02020603050405020304" pitchFamily="18" charset="0"/>
              <a:cs typeface="Times New Roman" panose="02020603050405020304" pitchFamily="18" charset="0"/>
            </a:rPr>
            <a:t>KPIS</a:t>
          </a:r>
        </a:p>
      </xdr:txBody>
    </xdr:sp>
    <xdr:clientData/>
  </xdr:twoCellAnchor>
  <xdr:twoCellAnchor editAs="oneCell">
    <xdr:from>
      <xdr:col>4</xdr:col>
      <xdr:colOff>488950</xdr:colOff>
      <xdr:row>0</xdr:row>
      <xdr:rowOff>158750</xdr:rowOff>
    </xdr:from>
    <xdr:to>
      <xdr:col>5</xdr:col>
      <xdr:colOff>317896</xdr:colOff>
      <xdr:row>3</xdr:row>
      <xdr:rowOff>19050</xdr:rowOff>
    </xdr:to>
    <xdr:pic>
      <xdr:nvPicPr>
        <xdr:cNvPr id="3" name="Picture 2">
          <a:hlinkClick xmlns:r="http://schemas.openxmlformats.org/officeDocument/2006/relationships" r:id="rId26"/>
          <a:extLst>
            <a:ext uri="{FF2B5EF4-FFF2-40B4-BE49-F238E27FC236}">
              <a16:creationId xmlns:a16="http://schemas.microsoft.com/office/drawing/2014/main" id="{5139D83B-F436-B35B-9035-1E8522CA666D}"/>
            </a:ext>
          </a:extLst>
        </xdr:cNvPr>
        <xdr:cNvPicPr>
          <a:picLocks noChangeAspect="1" noChangeArrowheads="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4191000" y="158750"/>
          <a:ext cx="438546" cy="412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533400</xdr:colOff>
      <xdr:row>0</xdr:row>
      <xdr:rowOff>139700</xdr:rowOff>
    </xdr:from>
    <xdr:to>
      <xdr:col>10</xdr:col>
      <xdr:colOff>393700</xdr:colOff>
      <xdr:row>3</xdr:row>
      <xdr:rowOff>57150</xdr:rowOff>
    </xdr:to>
    <xdr:pic>
      <xdr:nvPicPr>
        <xdr:cNvPr id="7" name="Picture 6" descr="Github, Github Logo, Github Icon ...">
          <a:hlinkClick xmlns:r="http://schemas.openxmlformats.org/officeDocument/2006/relationships" r:id="rId28"/>
          <a:extLst>
            <a:ext uri="{FF2B5EF4-FFF2-40B4-BE49-F238E27FC236}">
              <a16:creationId xmlns:a16="http://schemas.microsoft.com/office/drawing/2014/main" id="{245B1B70-CEDB-B539-567C-8052B9F83897}"/>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7283450" y="139700"/>
          <a:ext cx="469900" cy="469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463550</xdr:colOff>
      <xdr:row>0</xdr:row>
      <xdr:rowOff>69850</xdr:rowOff>
    </xdr:from>
    <xdr:to>
      <xdr:col>12</xdr:col>
      <xdr:colOff>419100</xdr:colOff>
      <xdr:row>3</xdr:row>
      <xdr:rowOff>82550</xdr:rowOff>
    </xdr:to>
    <xdr:pic>
      <xdr:nvPicPr>
        <xdr:cNvPr id="12" name="Graphic 11" descr="Home with solid fill">
          <a:hlinkClick xmlns:r="http://schemas.openxmlformats.org/officeDocument/2006/relationships" r:id="rId30"/>
          <a:extLst>
            <a:ext uri="{FF2B5EF4-FFF2-40B4-BE49-F238E27FC236}">
              <a16:creationId xmlns:a16="http://schemas.microsoft.com/office/drawing/2014/main" id="{D0E88905-1161-CC62-3D07-40E18A83111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432800" y="69850"/>
          <a:ext cx="565150" cy="565150"/>
        </a:xfrm>
        <a:prstGeom prst="rect">
          <a:avLst/>
        </a:prstGeom>
      </xdr:spPr>
    </xdr:pic>
    <xdr:clientData/>
  </xdr:twoCellAnchor>
  <xdr:twoCellAnchor>
    <xdr:from>
      <xdr:col>2</xdr:col>
      <xdr:colOff>44450</xdr:colOff>
      <xdr:row>18</xdr:row>
      <xdr:rowOff>12700</xdr:rowOff>
    </xdr:from>
    <xdr:to>
      <xdr:col>13</xdr:col>
      <xdr:colOff>88900</xdr:colOff>
      <xdr:row>21</xdr:row>
      <xdr:rowOff>6350</xdr:rowOff>
    </xdr:to>
    <xdr:sp macro="" textlink="">
      <xdr:nvSpPr>
        <xdr:cNvPr id="13" name="Rectangle: Rounded Corners 12">
          <a:extLst>
            <a:ext uri="{FF2B5EF4-FFF2-40B4-BE49-F238E27FC236}">
              <a16:creationId xmlns:a16="http://schemas.microsoft.com/office/drawing/2014/main" id="{C6A92FA0-A030-7997-D040-5DEC7BBDABB1}"/>
            </a:ext>
          </a:extLst>
        </xdr:cNvPr>
        <xdr:cNvSpPr/>
      </xdr:nvSpPr>
      <xdr:spPr>
        <a:xfrm>
          <a:off x="2374900" y="3327400"/>
          <a:ext cx="6902450" cy="546100"/>
        </a:xfrm>
        <a:prstGeom prst="roundRect">
          <a:avLst/>
        </a:prstGeom>
        <a:solidFill>
          <a:schemeClr val="tx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a:solidFill>
                <a:schemeClr val="bg1">
                  <a:lumMod val="95000"/>
                </a:schemeClr>
              </a:solidFill>
              <a:latin typeface="Algerian" panose="04020705040A02060702" pitchFamily="82" charset="0"/>
            </a:rPr>
            <a:t>CLICK</a:t>
          </a:r>
          <a:r>
            <a:rPr lang="en-IN" sz="2800" baseline="0">
              <a:solidFill>
                <a:schemeClr val="bg1">
                  <a:lumMod val="95000"/>
                </a:schemeClr>
              </a:solidFill>
              <a:latin typeface="Algerian" panose="04020705040A02060702" pitchFamily="82" charset="0"/>
            </a:rPr>
            <a:t> ON THESE ICONS</a:t>
          </a:r>
          <a:endParaRPr lang="en-IN" sz="2800">
            <a:solidFill>
              <a:schemeClr val="bg1">
                <a:lumMod val="95000"/>
              </a:schemeClr>
            </a:solidFill>
            <a:latin typeface="Algerian" panose="04020705040A02060702" pitchFamily="82" charset="0"/>
          </a:endParaRPr>
        </a:p>
      </xdr:txBody>
    </xdr:sp>
    <xdr:clientData/>
  </xdr:twoCellAnchor>
  <xdr:twoCellAnchor>
    <xdr:from>
      <xdr:col>0</xdr:col>
      <xdr:colOff>1079500</xdr:colOff>
      <xdr:row>7</xdr:row>
      <xdr:rowOff>44450</xdr:rowOff>
    </xdr:from>
    <xdr:to>
      <xdr:col>2</xdr:col>
      <xdr:colOff>76200</xdr:colOff>
      <xdr:row>9</xdr:row>
      <xdr:rowOff>120650</xdr:rowOff>
    </xdr:to>
    <xdr:sp macro="" textlink="Sheet1!E3">
      <xdr:nvSpPr>
        <xdr:cNvPr id="14" name="TextBox 13">
          <a:extLst>
            <a:ext uri="{FF2B5EF4-FFF2-40B4-BE49-F238E27FC236}">
              <a16:creationId xmlns:a16="http://schemas.microsoft.com/office/drawing/2014/main" id="{367D8EE4-ECC6-F8B2-E974-F6955B9A4339}"/>
            </a:ext>
          </a:extLst>
        </xdr:cNvPr>
        <xdr:cNvSpPr txBox="1"/>
      </xdr:nvSpPr>
      <xdr:spPr>
        <a:xfrm>
          <a:off x="1079500" y="1333500"/>
          <a:ext cx="1327150" cy="444500"/>
        </a:xfrm>
        <a:prstGeom prst="rect">
          <a:avLst/>
        </a:prstGeom>
        <a:solidFill>
          <a:schemeClr val="tx2">
            <a:lumMod val="75000"/>
          </a:schemeClr>
        </a:solidFill>
        <a:ln w="9525" cmpd="sng">
          <a:solidFill>
            <a:schemeClr val="tx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fld id="{FB654B86-5BA5-4F5D-BA00-FFD6C6E000BE}" type="TxLink">
            <a:rPr lang="en-US" sz="2000" b="0" i="0" u="none" strike="noStrike">
              <a:solidFill>
                <a:schemeClr val="accent6"/>
              </a:solidFill>
              <a:latin typeface="Times New Roman" panose="02020603050405020304" pitchFamily="18" charset="0"/>
              <a:ea typeface="Calibri"/>
              <a:cs typeface="Times New Roman" panose="02020603050405020304" pitchFamily="18" charset="0"/>
            </a:rPr>
            <a:t>2259818</a:t>
          </a:fld>
          <a:endParaRPr lang="en-IN" sz="2000">
            <a:solidFill>
              <a:schemeClr val="accent6"/>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323850</xdr:colOff>
      <xdr:row>7</xdr:row>
      <xdr:rowOff>25400</xdr:rowOff>
    </xdr:from>
    <xdr:to>
      <xdr:col>6</xdr:col>
      <xdr:colOff>412750</xdr:colOff>
      <xdr:row>9</xdr:row>
      <xdr:rowOff>38100</xdr:rowOff>
    </xdr:to>
    <xdr:sp macro="" textlink="Sheet1!E5">
      <xdr:nvSpPr>
        <xdr:cNvPr id="19" name="TextBox 18">
          <a:extLst>
            <a:ext uri="{FF2B5EF4-FFF2-40B4-BE49-F238E27FC236}">
              <a16:creationId xmlns:a16="http://schemas.microsoft.com/office/drawing/2014/main" id="{C4501213-D309-F6DC-21D5-F4473A8658DD}"/>
            </a:ext>
          </a:extLst>
        </xdr:cNvPr>
        <xdr:cNvSpPr txBox="1"/>
      </xdr:nvSpPr>
      <xdr:spPr>
        <a:xfrm>
          <a:off x="4025900" y="1314450"/>
          <a:ext cx="13081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indent="0"/>
          <a:fld id="{0CBEF8EE-6324-4A44-8F4B-04E71B74714A}" type="TxLink">
            <a:rPr lang="en-US" sz="2000" b="0" i="0" u="none" strike="noStrike">
              <a:solidFill>
                <a:schemeClr val="accent6">
                  <a:lumMod val="100000"/>
                </a:schemeClr>
              </a:solidFill>
              <a:latin typeface="Times New Roman" panose="02020603050405020304" pitchFamily="18" charset="0"/>
              <a:ea typeface="Calibri"/>
              <a:cs typeface="Times New Roman" panose="02020603050405020304" pitchFamily="18" charset="0"/>
            </a:rPr>
            <a:t>1224384</a:t>
          </a:fld>
          <a:endParaRPr lang="en-IN" sz="2000">
            <a:solidFill>
              <a:schemeClr val="accent6">
                <a:lumMod val="100000"/>
              </a:schemeClr>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9</xdr:col>
      <xdr:colOff>0</xdr:colOff>
      <xdr:row>7</xdr:row>
      <xdr:rowOff>95250</xdr:rowOff>
    </xdr:from>
    <xdr:to>
      <xdr:col>11</xdr:col>
      <xdr:colOff>50800</xdr:colOff>
      <xdr:row>9</xdr:row>
      <xdr:rowOff>76200</xdr:rowOff>
    </xdr:to>
    <xdr:sp macro="" textlink="Sheet1!E7">
      <xdr:nvSpPr>
        <xdr:cNvPr id="20" name="TextBox 19">
          <a:extLst>
            <a:ext uri="{FF2B5EF4-FFF2-40B4-BE49-F238E27FC236}">
              <a16:creationId xmlns:a16="http://schemas.microsoft.com/office/drawing/2014/main" id="{8148AC16-5B4D-FF84-0219-A43A72191438}"/>
            </a:ext>
          </a:extLst>
        </xdr:cNvPr>
        <xdr:cNvSpPr txBox="1"/>
      </xdr:nvSpPr>
      <xdr:spPr>
        <a:xfrm>
          <a:off x="6750050" y="1384300"/>
          <a:ext cx="1270000" cy="3492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indent="0"/>
          <a:fld id="{AFD63967-DEAE-43AC-B6FF-AEB2DD6391CB}" type="TxLink">
            <a:rPr lang="en-US" sz="2000" b="0" i="0" u="none" strike="noStrike">
              <a:solidFill>
                <a:schemeClr val="accent6">
                  <a:lumMod val="100000"/>
                </a:schemeClr>
              </a:solidFill>
              <a:latin typeface="Times New Roman" panose="02020603050405020304" pitchFamily="18" charset="0"/>
              <a:ea typeface="Calibri"/>
              <a:cs typeface="Times New Roman" panose="02020603050405020304" pitchFamily="18" charset="0"/>
            </a:rPr>
            <a:t>4.31</a:t>
          </a:fld>
          <a:endParaRPr lang="en-IN" sz="2000">
            <a:solidFill>
              <a:schemeClr val="accent6">
                <a:lumMod val="100000"/>
              </a:schemeClr>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1123950</xdr:colOff>
      <xdr:row>14</xdr:row>
      <xdr:rowOff>6350</xdr:rowOff>
    </xdr:from>
    <xdr:to>
      <xdr:col>1</xdr:col>
      <xdr:colOff>565150</xdr:colOff>
      <xdr:row>15</xdr:row>
      <xdr:rowOff>139700</xdr:rowOff>
    </xdr:to>
    <xdr:sp macro="" textlink="Sheet1!E11">
      <xdr:nvSpPr>
        <xdr:cNvPr id="42" name="TextBox 41">
          <a:extLst>
            <a:ext uri="{FF2B5EF4-FFF2-40B4-BE49-F238E27FC236}">
              <a16:creationId xmlns:a16="http://schemas.microsoft.com/office/drawing/2014/main" id="{14E28FED-A607-5384-E7A6-B0AD28F819FC}"/>
            </a:ext>
          </a:extLst>
        </xdr:cNvPr>
        <xdr:cNvSpPr txBox="1"/>
      </xdr:nvSpPr>
      <xdr:spPr>
        <a:xfrm>
          <a:off x="1123950" y="2584450"/>
          <a:ext cx="1162050" cy="317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indent="0"/>
          <a:fld id="{06026BD2-88C8-480D-888C-D40CF40FEAB7}" type="TxLink">
            <a:rPr lang="en-US" sz="2000" b="0" i="0" u="none" strike="noStrike">
              <a:solidFill>
                <a:schemeClr val="accent6">
                  <a:lumMod val="100000"/>
                </a:schemeClr>
              </a:solidFill>
              <a:latin typeface="Times New Roman" panose="02020603050405020304" pitchFamily="18" charset="0"/>
              <a:ea typeface="Calibri"/>
              <a:cs typeface="Times New Roman" panose="02020603050405020304" pitchFamily="18" charset="0"/>
            </a:rPr>
            <a:t>6</a:t>
          </a:fld>
          <a:endParaRPr lang="en-IN" sz="2000">
            <a:solidFill>
              <a:schemeClr val="accent6">
                <a:lumMod val="100000"/>
              </a:schemeClr>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4</xdr:col>
      <xdr:colOff>158750</xdr:colOff>
      <xdr:row>13</xdr:row>
      <xdr:rowOff>171450</xdr:rowOff>
    </xdr:from>
    <xdr:to>
      <xdr:col>6</xdr:col>
      <xdr:colOff>279400</xdr:colOff>
      <xdr:row>15</xdr:row>
      <xdr:rowOff>146050</xdr:rowOff>
    </xdr:to>
    <xdr:sp macro="" textlink="Sheet1!E13">
      <xdr:nvSpPr>
        <xdr:cNvPr id="43" name="TextBox 42">
          <a:extLst>
            <a:ext uri="{FF2B5EF4-FFF2-40B4-BE49-F238E27FC236}">
              <a16:creationId xmlns:a16="http://schemas.microsoft.com/office/drawing/2014/main" id="{F645B4B6-CDB8-20B7-5915-16117608B83D}"/>
            </a:ext>
          </a:extLst>
        </xdr:cNvPr>
        <xdr:cNvSpPr txBox="1"/>
      </xdr:nvSpPr>
      <xdr:spPr>
        <a:xfrm>
          <a:off x="3860800" y="2565400"/>
          <a:ext cx="1339850" cy="3429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indent="0"/>
          <a:fld id="{060E8CD9-F77D-4D4E-813D-E8E894621018}" type="TxLink">
            <a:rPr lang="en-US" sz="2000" b="0" i="0" u="none" strike="noStrike">
              <a:solidFill>
                <a:schemeClr val="accent6">
                  <a:lumMod val="100000"/>
                </a:schemeClr>
              </a:solidFill>
              <a:latin typeface="Times New Roman" panose="02020603050405020304" pitchFamily="18" charset="0"/>
              <a:ea typeface="Calibri"/>
              <a:cs typeface="Times New Roman" panose="02020603050405020304" pitchFamily="18" charset="0"/>
            </a:rPr>
            <a:t>6509278</a:t>
          </a:fld>
          <a:endParaRPr lang="en-IN" sz="2000">
            <a:solidFill>
              <a:schemeClr val="accent6">
                <a:lumMod val="100000"/>
              </a:schemeClr>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8</xdr:col>
      <xdr:colOff>431800</xdr:colOff>
      <xdr:row>13</xdr:row>
      <xdr:rowOff>171450</xdr:rowOff>
    </xdr:from>
    <xdr:to>
      <xdr:col>11</xdr:col>
      <xdr:colOff>330200</xdr:colOff>
      <xdr:row>15</xdr:row>
      <xdr:rowOff>177800</xdr:rowOff>
    </xdr:to>
    <xdr:sp macro="" textlink="Sheet1!E15">
      <xdr:nvSpPr>
        <xdr:cNvPr id="44" name="TextBox 43">
          <a:extLst>
            <a:ext uri="{FF2B5EF4-FFF2-40B4-BE49-F238E27FC236}">
              <a16:creationId xmlns:a16="http://schemas.microsoft.com/office/drawing/2014/main" id="{4F86CAA4-6726-939A-28DA-45A002AE14E1}"/>
            </a:ext>
          </a:extLst>
        </xdr:cNvPr>
        <xdr:cNvSpPr txBox="1"/>
      </xdr:nvSpPr>
      <xdr:spPr>
        <a:xfrm>
          <a:off x="6572250" y="2565400"/>
          <a:ext cx="1727200" cy="3746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indent="0"/>
          <a:fld id="{F4EBA9AD-3880-44F2-8B74-E581FC69691D}" type="TxLink">
            <a:rPr lang="en-US" sz="1800" b="0" i="0" u="none" strike="noStrike">
              <a:solidFill>
                <a:schemeClr val="accent6">
                  <a:lumMod val="100000"/>
                </a:schemeClr>
              </a:solidFill>
              <a:latin typeface="Times New Roman" panose="02020603050405020304" pitchFamily="18" charset="0"/>
              <a:ea typeface="Calibri"/>
              <a:cs typeface="Times New Roman" panose="02020603050405020304" pitchFamily="18" charset="0"/>
            </a:rPr>
            <a:t>Andhra Pradesh Srtc</a:t>
          </a:fld>
          <a:endParaRPr lang="en-IN" sz="1800">
            <a:solidFill>
              <a:schemeClr val="accent6">
                <a:lumMod val="100000"/>
              </a:schemeClr>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323850</xdr:colOff>
      <xdr:row>13</xdr:row>
      <xdr:rowOff>177800</xdr:rowOff>
    </xdr:from>
    <xdr:to>
      <xdr:col>15</xdr:col>
      <xdr:colOff>412750</xdr:colOff>
      <xdr:row>16</xdr:row>
      <xdr:rowOff>38100</xdr:rowOff>
    </xdr:to>
    <xdr:sp macro="" textlink="Sheet1!E17">
      <xdr:nvSpPr>
        <xdr:cNvPr id="45" name="TextBox 44">
          <a:extLst>
            <a:ext uri="{FF2B5EF4-FFF2-40B4-BE49-F238E27FC236}">
              <a16:creationId xmlns:a16="http://schemas.microsoft.com/office/drawing/2014/main" id="{7A9A88C7-B989-362E-4E13-7755C2E565E3}"/>
            </a:ext>
          </a:extLst>
        </xdr:cNvPr>
        <xdr:cNvSpPr txBox="1"/>
      </xdr:nvSpPr>
      <xdr:spPr>
        <a:xfrm>
          <a:off x="9512300" y="2571750"/>
          <a:ext cx="1308100" cy="412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indent="0"/>
          <a:fld id="{59882726-AB37-498B-98F5-8F11C6EB84DD}" type="TxLink">
            <a:rPr lang="en-US" sz="1800" b="0" i="0" u="none" strike="noStrike">
              <a:solidFill>
                <a:schemeClr val="accent6">
                  <a:lumMod val="75000"/>
                </a:schemeClr>
              </a:solidFill>
              <a:latin typeface="Times New Roman" panose="02020603050405020304" pitchFamily="18" charset="0"/>
              <a:ea typeface="Calibri"/>
              <a:cs typeface="Times New Roman" panose="02020603050405020304" pitchFamily="18" charset="0"/>
            </a:rPr>
            <a:t>Nagaland St</a:t>
          </a:fld>
          <a:endParaRPr lang="en-IN" sz="1800">
            <a:solidFill>
              <a:schemeClr val="accent6">
                <a:lumMod val="75000"/>
              </a:schemeClr>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247650</xdr:colOff>
      <xdr:row>7</xdr:row>
      <xdr:rowOff>101600</xdr:rowOff>
    </xdr:from>
    <xdr:to>
      <xdr:col>16</xdr:col>
      <xdr:colOff>520700</xdr:colOff>
      <xdr:row>9</xdr:row>
      <xdr:rowOff>95250</xdr:rowOff>
    </xdr:to>
    <xdr:sp macro="" textlink="Sheet1!E9">
      <xdr:nvSpPr>
        <xdr:cNvPr id="46" name="TextBox 45">
          <a:extLst>
            <a:ext uri="{FF2B5EF4-FFF2-40B4-BE49-F238E27FC236}">
              <a16:creationId xmlns:a16="http://schemas.microsoft.com/office/drawing/2014/main" id="{16968C02-FB2F-6661-E4A2-7BBB77019B15}"/>
            </a:ext>
          </a:extLst>
        </xdr:cNvPr>
        <xdr:cNvSpPr txBox="1"/>
      </xdr:nvSpPr>
      <xdr:spPr>
        <a:xfrm>
          <a:off x="9436100" y="1390650"/>
          <a:ext cx="2101850" cy="3619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indent="0"/>
          <a:fld id="{BA50F556-D6FE-4FEC-86B4-BDCF050252E7}" type="TxLink">
            <a:rPr lang="en-US" sz="2000" b="0" i="0" u="none" strike="noStrike">
              <a:solidFill>
                <a:schemeClr val="accent6">
                  <a:lumMod val="100000"/>
                </a:schemeClr>
              </a:solidFill>
              <a:latin typeface="Times New Roman" panose="02020603050405020304" pitchFamily="18" charset="0"/>
              <a:ea typeface="Calibri"/>
              <a:cs typeface="Times New Roman" panose="02020603050405020304" pitchFamily="18" charset="0"/>
            </a:rPr>
            <a:t>51011943.20</a:t>
          </a:fld>
          <a:endParaRPr lang="en-IN" sz="2000">
            <a:solidFill>
              <a:schemeClr val="accent6">
                <a:lumMod val="100000"/>
              </a:schemeClr>
            </a:solidFill>
            <a:latin typeface="Times New Roman" panose="02020603050405020304" pitchFamily="18" charset="0"/>
            <a:ea typeface="+mn-ea"/>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209550</xdr:colOff>
      <xdr:row>0</xdr:row>
      <xdr:rowOff>101600</xdr:rowOff>
    </xdr:from>
    <xdr:to>
      <xdr:col>17</xdr:col>
      <xdr:colOff>25400</xdr:colOff>
      <xdr:row>4</xdr:row>
      <xdr:rowOff>63500</xdr:rowOff>
    </xdr:to>
    <xdr:sp macro="" textlink="">
      <xdr:nvSpPr>
        <xdr:cNvPr id="2" name="Rectangle: Rounded Corners 1">
          <a:extLst>
            <a:ext uri="{FF2B5EF4-FFF2-40B4-BE49-F238E27FC236}">
              <a16:creationId xmlns:a16="http://schemas.microsoft.com/office/drawing/2014/main" id="{B6228967-6FE7-EE3F-ADC8-24029847EE91}"/>
            </a:ext>
          </a:extLst>
        </xdr:cNvPr>
        <xdr:cNvSpPr/>
      </xdr:nvSpPr>
      <xdr:spPr>
        <a:xfrm>
          <a:off x="209550" y="101600"/>
          <a:ext cx="10179050" cy="698500"/>
        </a:xfrm>
        <a:prstGeom prst="roundRect">
          <a:avLst/>
        </a:prstGeom>
        <a:solidFill>
          <a:srgbClr val="4B0C89"/>
        </a:solidFill>
        <a:ln>
          <a:noFill/>
        </a:ln>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4000" b="1">
              <a:solidFill>
                <a:schemeClr val="bg1">
                  <a:lumMod val="95000"/>
                </a:schemeClr>
              </a:solidFill>
              <a:latin typeface="Times New Roman" panose="02020603050405020304" pitchFamily="18" charset="0"/>
              <a:cs typeface="Times New Roman" panose="02020603050405020304" pitchFamily="18" charset="0"/>
            </a:rPr>
            <a:t>WELCOME</a:t>
          </a:r>
          <a:r>
            <a:rPr lang="en-IN" sz="4000" b="1" baseline="0">
              <a:solidFill>
                <a:schemeClr val="bg1">
                  <a:lumMod val="95000"/>
                </a:schemeClr>
              </a:solidFill>
              <a:latin typeface="Times New Roman" panose="02020603050405020304" pitchFamily="18" charset="0"/>
              <a:cs typeface="Times New Roman" panose="02020603050405020304" pitchFamily="18" charset="0"/>
            </a:rPr>
            <a:t> TO HOME PAGE</a:t>
          </a:r>
          <a:endParaRPr lang="en-IN" sz="4000" b="1">
            <a:solidFill>
              <a:schemeClr val="bg1">
                <a:lumMod val="95000"/>
              </a:schemeClr>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171450</xdr:colOff>
      <xdr:row>7</xdr:row>
      <xdr:rowOff>88900</xdr:rowOff>
    </xdr:from>
    <xdr:to>
      <xdr:col>14</xdr:col>
      <xdr:colOff>457200</xdr:colOff>
      <xdr:row>27</xdr:row>
      <xdr:rowOff>158750</xdr:rowOff>
    </xdr:to>
    <xdr:sp macro="" textlink="">
      <xdr:nvSpPr>
        <xdr:cNvPr id="3" name="Rectangle: Rounded Corners 2">
          <a:extLst>
            <a:ext uri="{FF2B5EF4-FFF2-40B4-BE49-F238E27FC236}">
              <a16:creationId xmlns:a16="http://schemas.microsoft.com/office/drawing/2014/main" id="{ABCEEC6F-46D5-C2D2-F6C2-0ADF0E77DC96}"/>
            </a:ext>
          </a:extLst>
        </xdr:cNvPr>
        <xdr:cNvSpPr/>
      </xdr:nvSpPr>
      <xdr:spPr>
        <a:xfrm>
          <a:off x="2609850" y="1377950"/>
          <a:ext cx="6381750" cy="3752850"/>
        </a:xfrm>
        <a:prstGeom prst="roundRect">
          <a:avLst>
            <a:gd name="adj" fmla="val 8863"/>
          </a:avLst>
        </a:prstGeom>
        <a:solidFill>
          <a:srgbClr val="4B0C89"/>
        </a:solidFill>
        <a:ln>
          <a:noFill/>
        </a:ln>
        <a:scene3d>
          <a:camera prst="orthographicFront"/>
          <a:lightRig rig="threePt" dir="t"/>
        </a:scene3d>
        <a:sp3d>
          <a:bevelT w="114300" prst="artDeco"/>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b="1">
              <a:solidFill>
                <a:schemeClr val="bg1">
                  <a:lumMod val="95000"/>
                </a:schemeClr>
              </a:solidFill>
              <a:latin typeface="Times New Roman" panose="02020603050405020304" pitchFamily="18" charset="0"/>
              <a:cs typeface="Times New Roman" panose="02020603050405020304" pitchFamily="18" charset="0"/>
            </a:rPr>
            <a:t>OBJECTIVES :</a:t>
          </a:r>
        </a:p>
      </xdr:txBody>
    </xdr:sp>
    <xdr:clientData/>
  </xdr:twoCellAnchor>
  <xdr:twoCellAnchor>
    <xdr:from>
      <xdr:col>4</xdr:col>
      <xdr:colOff>323850</xdr:colOff>
      <xdr:row>11</xdr:row>
      <xdr:rowOff>171450</xdr:rowOff>
    </xdr:from>
    <xdr:to>
      <xdr:col>14</xdr:col>
      <xdr:colOff>88900</xdr:colOff>
      <xdr:row>29</xdr:row>
      <xdr:rowOff>31750</xdr:rowOff>
    </xdr:to>
    <xdr:sp macro="" textlink="">
      <xdr:nvSpPr>
        <xdr:cNvPr id="4" name="TextBox 3">
          <a:extLst>
            <a:ext uri="{FF2B5EF4-FFF2-40B4-BE49-F238E27FC236}">
              <a16:creationId xmlns:a16="http://schemas.microsoft.com/office/drawing/2014/main" id="{D6278D06-1507-B5EF-4703-9103AEEEB61B}"/>
            </a:ext>
          </a:extLst>
        </xdr:cNvPr>
        <xdr:cNvSpPr txBox="1"/>
      </xdr:nvSpPr>
      <xdr:spPr>
        <a:xfrm>
          <a:off x="2762250" y="2197100"/>
          <a:ext cx="5861050" cy="3175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bg1">
                  <a:lumMod val="95000"/>
                </a:schemeClr>
              </a:solidFill>
              <a:latin typeface="Times New Roman" panose="02020603050405020304" pitchFamily="18" charset="0"/>
              <a:cs typeface="Times New Roman" panose="02020603050405020304" pitchFamily="18" charset="0"/>
            </a:rPr>
            <a:t>1. Total Number of Passengers Carried by each SRTU over the Years</a:t>
          </a:r>
        </a:p>
        <a:p>
          <a:r>
            <a:rPr lang="en-IN" sz="2000">
              <a:solidFill>
                <a:schemeClr val="bg1">
                  <a:lumMod val="95000"/>
                </a:schemeClr>
              </a:solidFill>
              <a:latin typeface="Times New Roman" panose="02020603050405020304" pitchFamily="18" charset="0"/>
              <a:cs typeface="Times New Roman" panose="02020603050405020304" pitchFamily="18" charset="0"/>
            </a:rPr>
            <a:t>2. Average Fleet Age Trend Over Time</a:t>
          </a:r>
        </a:p>
        <a:p>
          <a:r>
            <a:rPr lang="en-IN" sz="2000">
              <a:solidFill>
                <a:schemeClr val="bg1">
                  <a:lumMod val="95000"/>
                </a:schemeClr>
              </a:solidFill>
              <a:latin typeface="Times New Roman" panose="02020603050405020304" pitchFamily="18" charset="0"/>
              <a:cs typeface="Times New Roman" panose="02020603050405020304" pitchFamily="18" charset="0"/>
            </a:rPr>
            <a:t>3. Fuel Efficiency Comparison Across States or SRTUs</a:t>
          </a:r>
        </a:p>
        <a:p>
          <a:r>
            <a:rPr lang="en-IN" sz="2000">
              <a:solidFill>
                <a:schemeClr val="bg1">
                  <a:lumMod val="95000"/>
                </a:schemeClr>
              </a:solidFill>
              <a:latin typeface="Times New Roman" panose="02020603050405020304" pitchFamily="18" charset="0"/>
              <a:cs typeface="Times New Roman" panose="02020603050405020304" pitchFamily="18" charset="0"/>
            </a:rPr>
            <a:t>4. Fleet Held Composition by State or SRTU (Tree Map)</a:t>
          </a:r>
        </a:p>
        <a:p>
          <a:r>
            <a:rPr lang="en-IN" sz="2000">
              <a:solidFill>
                <a:schemeClr val="bg1">
                  <a:lumMod val="95000"/>
                </a:schemeClr>
              </a:solidFill>
              <a:latin typeface="Times New Roman" panose="02020603050405020304" pitchFamily="18" charset="0"/>
              <a:cs typeface="Times New Roman" panose="02020603050405020304" pitchFamily="18" charset="0"/>
            </a:rPr>
            <a:t>5. Total</a:t>
          </a:r>
          <a:r>
            <a:rPr lang="en-IN" sz="2000" baseline="0">
              <a:solidFill>
                <a:schemeClr val="bg1">
                  <a:lumMod val="95000"/>
                </a:schemeClr>
              </a:solidFill>
              <a:latin typeface="Times New Roman" panose="02020603050405020304" pitchFamily="18" charset="0"/>
              <a:cs typeface="Times New Roman" panose="02020603050405020304" pitchFamily="18" charset="0"/>
            </a:rPr>
            <a:t> Passengers carried over the years</a:t>
          </a:r>
        </a:p>
        <a:p>
          <a:r>
            <a:rPr lang="en-IN" sz="2000" baseline="0">
              <a:solidFill>
                <a:schemeClr val="bg1">
                  <a:lumMod val="95000"/>
                </a:schemeClr>
              </a:solidFill>
              <a:latin typeface="Times New Roman" panose="02020603050405020304" pitchFamily="18" charset="0"/>
              <a:cs typeface="Times New Roman" panose="02020603050405020304" pitchFamily="18" charset="0"/>
            </a:rPr>
            <a:t>6. </a:t>
          </a:r>
          <a:r>
            <a:rPr lang="en-IN" sz="2000">
              <a:solidFill>
                <a:schemeClr val="bg1">
                  <a:lumMod val="95000"/>
                </a:schemeClr>
              </a:solidFill>
            </a:rPr>
            <a:t>Analyze the Relationship Between Fleet Age and Fuel Efficiency</a:t>
          </a:r>
          <a:endParaRPr lang="en-IN" sz="2000" baseline="0">
            <a:solidFill>
              <a:schemeClr val="bg1">
                <a:lumMod val="95000"/>
              </a:schemeClr>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292100</xdr:colOff>
      <xdr:row>8</xdr:row>
      <xdr:rowOff>0</xdr:rowOff>
    </xdr:from>
    <xdr:to>
      <xdr:col>3</xdr:col>
      <xdr:colOff>266700</xdr:colOff>
      <xdr:row>10</xdr:row>
      <xdr:rowOff>177800</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19F6E25-31DD-BDD6-E141-672A7FB94FA8}"/>
            </a:ext>
          </a:extLst>
        </xdr:cNvPr>
        <xdr:cNvSpPr/>
      </xdr:nvSpPr>
      <xdr:spPr>
        <a:xfrm>
          <a:off x="292100" y="1473200"/>
          <a:ext cx="1803400" cy="546100"/>
        </a:xfrm>
        <a:prstGeom prst="roundRect">
          <a:avLst/>
        </a:prstGeom>
        <a:solidFill>
          <a:srgbClr val="4B0C89"/>
        </a:solidFill>
        <a:ln>
          <a:no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lumMod val="95000"/>
                </a:schemeClr>
              </a:solidFill>
              <a:latin typeface="Times New Roman" panose="02020603050405020304" pitchFamily="18" charset="0"/>
              <a:cs typeface="Times New Roman" panose="02020603050405020304" pitchFamily="18" charset="0"/>
            </a:rPr>
            <a:t>DASHBOARD</a:t>
          </a:r>
        </a:p>
      </xdr:txBody>
    </xdr:sp>
    <xdr:clientData/>
  </xdr:twoCellAnchor>
  <xdr:twoCellAnchor>
    <xdr:from>
      <xdr:col>0</xdr:col>
      <xdr:colOff>292100</xdr:colOff>
      <xdr:row>12</xdr:row>
      <xdr:rowOff>158750</xdr:rowOff>
    </xdr:from>
    <xdr:to>
      <xdr:col>3</xdr:col>
      <xdr:colOff>260350</xdr:colOff>
      <xdr:row>16</xdr:row>
      <xdr:rowOff>44450</xdr:rowOff>
    </xdr:to>
    <xdr:sp macro="" textlink="">
      <xdr:nvSpPr>
        <xdr:cNvPr id="7" name="Rectangle: Rounded Corners 6">
          <a:hlinkClick xmlns:r="http://schemas.openxmlformats.org/officeDocument/2006/relationships" r:id="rId2"/>
          <a:extLst>
            <a:ext uri="{FF2B5EF4-FFF2-40B4-BE49-F238E27FC236}">
              <a16:creationId xmlns:a16="http://schemas.microsoft.com/office/drawing/2014/main" id="{A88C9FAF-B64E-8AE0-DA5C-C887DE319E1A}"/>
            </a:ext>
          </a:extLst>
        </xdr:cNvPr>
        <xdr:cNvSpPr/>
      </xdr:nvSpPr>
      <xdr:spPr>
        <a:xfrm>
          <a:off x="292100" y="2368550"/>
          <a:ext cx="1797050" cy="622300"/>
        </a:xfrm>
        <a:prstGeom prst="roundRect">
          <a:avLst/>
        </a:prstGeom>
        <a:solidFill>
          <a:srgbClr val="4B0C89"/>
        </a:solidFill>
        <a:ln>
          <a:no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lumMod val="95000"/>
                </a:schemeClr>
              </a:solidFill>
              <a:latin typeface="Times New Roman" panose="02020603050405020304" pitchFamily="18" charset="0"/>
              <a:cs typeface="Times New Roman" panose="02020603050405020304" pitchFamily="18" charset="0"/>
            </a:rPr>
            <a:t>DATASET</a:t>
          </a:r>
        </a:p>
      </xdr:txBody>
    </xdr:sp>
    <xdr:clientData/>
  </xdr:twoCellAnchor>
  <xdr:twoCellAnchor>
    <xdr:from>
      <xdr:col>0</xdr:col>
      <xdr:colOff>260350</xdr:colOff>
      <xdr:row>18</xdr:row>
      <xdr:rowOff>25400</xdr:rowOff>
    </xdr:from>
    <xdr:to>
      <xdr:col>3</xdr:col>
      <xdr:colOff>273050</xdr:colOff>
      <xdr:row>21</xdr:row>
      <xdr:rowOff>95250</xdr:rowOff>
    </xdr:to>
    <xdr:sp macro="" textlink="">
      <xdr:nvSpPr>
        <xdr:cNvPr id="8" name="Rectangle: Rounded Corners 7">
          <a:hlinkClick xmlns:r="http://schemas.openxmlformats.org/officeDocument/2006/relationships" r:id="rId3"/>
          <a:extLst>
            <a:ext uri="{FF2B5EF4-FFF2-40B4-BE49-F238E27FC236}">
              <a16:creationId xmlns:a16="http://schemas.microsoft.com/office/drawing/2014/main" id="{34F359DF-10B8-41A8-9255-A1D42F9450D2}"/>
            </a:ext>
          </a:extLst>
        </xdr:cNvPr>
        <xdr:cNvSpPr/>
      </xdr:nvSpPr>
      <xdr:spPr>
        <a:xfrm>
          <a:off x="260350" y="3340100"/>
          <a:ext cx="1841500" cy="622300"/>
        </a:xfrm>
        <a:prstGeom prst="roundRect">
          <a:avLst/>
        </a:prstGeom>
        <a:solidFill>
          <a:srgbClr val="4B0C89"/>
        </a:solidFill>
        <a:ln>
          <a:no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lumMod val="95000"/>
                </a:schemeClr>
              </a:solidFill>
              <a:latin typeface="Times New Roman" panose="02020603050405020304" pitchFamily="18" charset="0"/>
              <a:cs typeface="Times New Roman" panose="02020603050405020304" pitchFamily="18" charset="0"/>
            </a:rPr>
            <a:t>KPIS</a:t>
          </a:r>
        </a:p>
      </xdr:txBody>
    </xdr:sp>
    <xdr:clientData/>
  </xdr:twoCellAnchor>
  <xdr:twoCellAnchor>
    <xdr:from>
      <xdr:col>0</xdr:col>
      <xdr:colOff>247650</xdr:colOff>
      <xdr:row>23</xdr:row>
      <xdr:rowOff>50800</xdr:rowOff>
    </xdr:from>
    <xdr:to>
      <xdr:col>3</xdr:col>
      <xdr:colOff>304800</xdr:colOff>
      <xdr:row>27</xdr:row>
      <xdr:rowOff>127000</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FA0E7BA0-9F71-4381-A714-5F1A7E0D0262}"/>
            </a:ext>
          </a:extLst>
        </xdr:cNvPr>
        <xdr:cNvSpPr/>
      </xdr:nvSpPr>
      <xdr:spPr>
        <a:xfrm>
          <a:off x="247650" y="4286250"/>
          <a:ext cx="1885950" cy="812800"/>
        </a:xfrm>
        <a:prstGeom prst="roundRect">
          <a:avLst/>
        </a:prstGeom>
        <a:solidFill>
          <a:srgbClr val="4B0C89"/>
        </a:solidFill>
        <a:ln>
          <a:noFill/>
        </a:ln>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lumMod val="95000"/>
                </a:schemeClr>
              </a:solidFill>
              <a:latin typeface="Times New Roman" panose="02020603050405020304" pitchFamily="18" charset="0"/>
              <a:cs typeface="Times New Roman" panose="02020603050405020304" pitchFamily="18" charset="0"/>
            </a:rPr>
            <a:t>ORIGINAL</a:t>
          </a:r>
        </a:p>
        <a:p>
          <a:pPr algn="ctr"/>
          <a:r>
            <a:rPr lang="en-IN" sz="1800" b="1">
              <a:solidFill>
                <a:schemeClr val="bg1">
                  <a:lumMod val="95000"/>
                </a:schemeClr>
              </a:solidFill>
              <a:latin typeface="Times New Roman" panose="02020603050405020304" pitchFamily="18" charset="0"/>
              <a:cs typeface="Times New Roman" panose="02020603050405020304" pitchFamily="18" charset="0"/>
            </a:rPr>
            <a:t>DATASET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ITA BALWADA" refreshedDate="45760.842162847221" createdVersion="8" refreshedVersion="8" minRefreshableVersion="3" recordCount="411" xr:uid="{70AFADCB-0343-4AFE-A6A1-65E6D1282303}">
  <cacheSource type="worksheet">
    <worksheetSource ref="A1:J410" sheet="Cleaned_Dataset"/>
  </cacheSource>
  <cacheFields count="10">
    <cacheField name="srcYear" numFmtId="0">
      <sharedItems/>
    </cacheField>
    <cacheField name="SRTU" numFmtId="0">
      <sharedItems count="59">
        <s v="Nagaland St"/>
        <s v="South Bengal Stc"/>
        <s v="Mizoram St"/>
        <s v="Metro Tc ( Chennai ) Limited"/>
        <s v="Meghalaya Stc"/>
        <s v="State Exp . Tc Tn Ltd."/>
        <s v="Maharashtra Srtc"/>
        <s v="Karnataka Srtc"/>
        <s v="Tn Stc ( Coimbatore ) Ltd."/>
        <s v="Tn Stc ( Kumbakonam ) Ltd."/>
        <s v="Haryana St"/>
        <s v="Gujarat Srtc"/>
        <s v="Delhi Tc"/>
        <s v="Chandigarh Tu"/>
        <s v="Tn Stc ( Madurai ) Ltd."/>
        <s v="Calcutta Stc"/>
        <s v="Bihar Srtc"/>
        <s v="Bangalore Metropolitan Tc"/>
        <s v="Tn Stc ( Salem ) Ltd."/>
        <s v="Best Undertaking"/>
        <s v="Ahmedabad Mtc"/>
        <s v="Pune Mahamandal"/>
        <s v="Odisha Srtc"/>
        <s v="North Western Karnataka Rtc"/>
        <s v="North Eastern Karnataka Rtc"/>
        <s v="Rajasthan Srtc"/>
        <s v="North Bengal Stc"/>
        <s v="Tn Stc ( Villupuram ) Ltd."/>
        <s v="Tripura Rtc"/>
        <s v="Andhra Pradesh Srtc"/>
        <s v="Kadamba Tc Ltd."/>
        <s v="Kerala Srtc"/>
        <s v="Kamataka Srtc"/>
        <s v="Uttarakhand Tc"/>
        <s v="Andaman &amp; Nicobar St"/>
        <s v="Punbus"/>
        <s v="Sikkim Nt"/>
        <s v="Arunachal Pradesh St"/>
        <s v="State Transport Punjab"/>
        <s v="J &amp; K Srtc"/>
        <s v="Solapur Mt"/>
        <s v="Navi Mumbai Mt"/>
        <s v="Telangana Srtc"/>
        <s v="Assam Stc"/>
        <s v="Uttar Pradesh Srtc ( P )"/>
        <s v="Thane Mt"/>
        <s v="Tn Stc ( Tirunelvell ) Ltd."/>
        <s v="Puducherry Road Transport Corp"/>
        <s v="Pepsu Rtc"/>
        <s v="Kolhapur Mtu"/>
        <s v="Kalyan Dombivali Mt"/>
        <s v="West Bengal Transport Corp."/>
        <s v="Meerut City Tsl"/>
        <s v="Kanpur City Tsl"/>
        <s v="Agra - Mathura City Tsl"/>
        <s v="Jaipur City Ts Ltd."/>
        <s v="Himachal Rtc"/>
        <s v="Delhi Integrated Mts"/>
        <s v="Ahemdabad Janmarg Ltd"/>
      </sharedItems>
    </cacheField>
    <cacheField name="Fleet Age" numFmtId="0">
      <sharedItems containsSemiMixedTypes="0" containsString="0" containsNumber="1" minValue="0" maxValue="15" count="196">
        <n v="0"/>
        <n v="7.5"/>
        <n v="8"/>
        <n v="6.4"/>
        <n v="5"/>
        <n v="5.9"/>
        <n v="4.5"/>
        <n v="5.5"/>
        <n v="4"/>
        <n v="7.1"/>
        <n v="3.1"/>
        <n v="6"/>
        <n v="6.6"/>
        <n v="7"/>
        <n v="4.2"/>
        <n v="11"/>
        <n v="8.5"/>
        <n v="9"/>
        <n v="5.2"/>
        <n v="4.9000000000000004"/>
        <n v="5.7"/>
        <n v="3.8"/>
        <n v="7.4"/>
        <n v="3.9"/>
        <n v="6.8"/>
        <n v="6.1"/>
        <n v="3"/>
        <n v="6.9"/>
        <n v="3.2"/>
        <n v="4.0999999999999996"/>
        <n v="2.2000000000000002"/>
        <n v="6.3"/>
        <n v="6.5"/>
        <n v="5.0999999999999996"/>
        <n v="9.5"/>
        <n v="7.8"/>
        <n v="5.3"/>
        <n v="4.8"/>
        <n v="8.8000000000000007"/>
        <n v="4.4000000000000004"/>
        <n v="2.7"/>
        <n v="7.7"/>
        <n v="7.9"/>
        <n v="4.5999999999999996"/>
        <n v="9.8000000000000007"/>
        <n v="4.7"/>
        <n v="7.2"/>
        <n v="3.4"/>
        <n v="3.7"/>
        <n v="8.1"/>
        <n v="3.6"/>
        <n v="4.3"/>
        <n v="6.7"/>
        <n v="8.1999999999999993"/>
        <n v="10.8"/>
        <n v="5.4"/>
        <n v="7.3"/>
        <n v="11.8"/>
        <n v="10.3"/>
        <n v="8.4"/>
        <n v="7.6"/>
        <n v="6.2"/>
        <n v="5.6"/>
        <n v="4.96"/>
        <n v="5.68"/>
        <n v="3.53"/>
        <n v="5.97"/>
        <n v="11.85"/>
        <n v="3.61"/>
        <n v="4.83"/>
        <n v="10.41"/>
        <n v="4.2300000000000004"/>
        <n v="6.97"/>
        <n v="4.58"/>
        <n v="5.62"/>
        <n v="6.15"/>
        <n v="5.67"/>
        <n v="4.8899999999999997"/>
        <n v="4.18"/>
        <n v="6.32"/>
        <n v="4.38"/>
        <n v="5.98"/>
        <n v="4.08"/>
        <n v="5.88"/>
        <n v="5.77"/>
        <n v="5.52"/>
        <n v="6.58"/>
        <n v="5.65"/>
        <n v="8.2100000000000009"/>
        <n v="6.35"/>
        <n v="3.36"/>
        <n v="10"/>
        <n v="4.9800000000000004"/>
        <n v="8.36"/>
        <n v="4.97"/>
        <n v="8.0500000000000007"/>
        <n v="6.12"/>
        <n v="7.32"/>
        <n v="6.59"/>
        <n v="5.19"/>
        <n v="4.0599999999999996"/>
        <n v="6.34"/>
        <n v="7.12"/>
        <n v="5.37"/>
        <n v="9.1"/>
        <n v="5.03"/>
        <n v="11.09"/>
        <n v="6.29"/>
        <n v="4.07"/>
        <n v="4.47"/>
        <n v="6.19"/>
        <n v="6.28"/>
        <n v="8.18"/>
        <n v="6.78"/>
        <n v="5.49"/>
        <n v="6.39"/>
        <n v="4.9400000000000004"/>
        <n v="5.76"/>
        <n v="7.83"/>
        <n v="3.75"/>
        <n v="5.29"/>
        <n v="12.85"/>
        <n v="5.83"/>
        <n v="6.89"/>
        <n v="7.73"/>
        <n v="4.37"/>
        <n v="5.1100000000000003"/>
        <n v="5.59"/>
        <n v="7.64"/>
        <n v="13.85"/>
        <n v="4.74"/>
        <n v="5.23"/>
        <n v="7.21"/>
        <n v="5.64"/>
        <n v="5.26"/>
        <n v="5.43"/>
        <n v="4.53"/>
        <n v="5.16"/>
        <n v="7.08"/>
        <n v="6.88"/>
        <n v="7.01"/>
        <n v="6.46"/>
        <n v="7.48"/>
        <n v="5.85"/>
        <n v="7.78"/>
        <n v="6.38"/>
        <n v="9.51"/>
        <n v="9.02"/>
        <n v="3.27"/>
        <n v="4.75"/>
        <n v="5.56"/>
        <n v="3.73"/>
        <n v="7.86"/>
        <n v="14.85"/>
        <n v="5.55"/>
        <n v="5.61"/>
        <n v="3.95"/>
        <n v="4.3499999999999996"/>
        <n v="7.81"/>
        <n v="8.35"/>
        <n v="4.71"/>
        <n v="8.07"/>
        <n v="7.77"/>
        <n v="7.96"/>
        <n v="6.95"/>
        <n v="6.48"/>
        <n v="4.91"/>
        <n v="8.65"/>
        <n v="4.82"/>
        <n v="9.7899999999999991"/>
        <n v="6.02"/>
        <n v="5.08"/>
        <n v="6.55"/>
        <n v="4.63"/>
        <n v="7.11"/>
        <n v="4.57"/>
        <n v="4.1900000000000004"/>
        <n v="8.67"/>
        <n v="8.08"/>
        <n v="6.03"/>
        <n v="6.86"/>
        <n v="7.06"/>
        <n v="7.46"/>
        <n v="6.96"/>
        <n v="7.09"/>
        <n v="9.14"/>
        <n v="5.92"/>
        <n v="15"/>
        <n v="5.41"/>
        <n v="6.24"/>
        <n v="7.31"/>
        <n v="6.04"/>
        <n v="5.12"/>
        <n v="10.46"/>
        <n v="6.31"/>
        <n v="4.95"/>
      </sharedItems>
    </cacheField>
    <cacheField name="Fleet Age Category" numFmtId="0">
      <sharedItems count="3">
        <s v="&lt;5 Years"/>
        <s v="5-10 Years"/>
        <s v="&gt;10 Years"/>
      </sharedItems>
    </cacheField>
    <cacheField name="Fleet Held" numFmtId="0">
      <sharedItems containsSemiMixedTypes="0" containsString="0" containsNumber="1" containsInteger="1" minValue="32" maxValue="22170"/>
    </cacheField>
    <cacheField name="Fuel efficiency" numFmtId="0">
      <sharedItems containsSemiMixedTypes="0" containsString="0" containsNumber="1" minValue="0" maxValue="6" count="166">
        <n v="3.7"/>
        <n v="4.0999999999999996"/>
        <n v="3.3"/>
        <n v="4.2"/>
        <n v="4.9000000000000004"/>
        <n v="5"/>
        <n v="5.5"/>
        <n v="4"/>
        <n v="5.2"/>
        <n v="3.6"/>
        <n v="3.9"/>
        <n v="4.4000000000000004"/>
        <n v="5.4"/>
        <n v="3"/>
        <n v="3.5"/>
        <n v="5.0999999999999996"/>
        <n v="5.3"/>
        <n v="2.9"/>
        <n v="5.6"/>
        <n v="4.8"/>
        <n v="4.5"/>
        <n v="3.8"/>
        <n v="3.4"/>
        <n v="2.7"/>
        <n v="4.3"/>
        <n v="2.5"/>
        <n v="3.2"/>
        <n v="4.7"/>
        <n v="2.8"/>
        <n v="3.79"/>
        <n v="3.82"/>
        <n v="4.3099999999999996"/>
        <n v="2.96"/>
        <n v="2.79"/>
        <n v="5.56"/>
        <n v="4.28"/>
        <n v="5.47"/>
        <n v="4.76"/>
        <n v="3.42"/>
        <n v="4.7699999999999996"/>
        <n v="4.57"/>
        <n v="5.37"/>
        <n v="3.94"/>
        <n v="3.21"/>
        <n v="5.14"/>
        <n v="5.59"/>
        <n v="2.99"/>
        <n v="4.66"/>
        <n v="5.17"/>
        <n v="4.93"/>
        <n v="2.84"/>
        <n v="5.09"/>
        <n v="5.0199999999999996"/>
        <n v="3.07"/>
        <n v="4.33"/>
        <n v="3.78"/>
        <n v="4.34"/>
        <n v="4.3499999999999996"/>
        <n v="5.23"/>
        <n v="3.65"/>
        <n v="4.29"/>
        <n v="2.11"/>
        <n v="2.2999999999999998"/>
        <n v="5.48"/>
        <n v="4.2300000000000004"/>
        <n v="4.82"/>
        <n v="4.1900000000000004"/>
        <n v="4.45"/>
        <n v="4.09"/>
        <n v="5.15"/>
        <n v="4.6900000000000004"/>
        <n v="5.01"/>
        <n v="4.12"/>
        <n v="5.12"/>
        <n v="5.18"/>
        <n v="4.54"/>
        <n v="5.16"/>
        <n v="5.19"/>
        <n v="5.63"/>
        <n v="5.53"/>
        <n v="3.77"/>
        <n v="4.75"/>
        <n v="4.55"/>
        <n v="3.13"/>
        <n v="3.22"/>
        <n v="3.01"/>
        <n v="4.5199999999999996"/>
        <n v="3.72"/>
        <n v="4.1399999999999997"/>
        <n v="4.3600000000000003"/>
        <n v="4.63"/>
        <n v="5.25"/>
        <n v="3.26"/>
        <n v="4.16"/>
        <n v="3.75"/>
        <n v="3.91"/>
        <n v="4.74"/>
        <n v="2.92"/>
        <n v="5.62"/>
        <n v="4.24"/>
        <n v="6"/>
        <n v="4.83"/>
        <n v="5.38"/>
        <n v="2.78"/>
        <n v="3.71"/>
        <n v="2.85"/>
        <n v="0"/>
        <n v="4.2699999999999996"/>
        <n v="3.76"/>
        <n v="4.0599999999999996"/>
        <n v="5.55"/>
        <n v="5.64"/>
        <n v="2.97"/>
        <n v="3.74"/>
        <n v="5.42"/>
        <n v="4.84"/>
        <n v="4.05"/>
        <n v="4.25"/>
        <n v="4.72"/>
        <n v="4.6500000000000004"/>
        <n v="5.0599999999999996"/>
        <n v="5.24"/>
        <n v="2.04"/>
        <n v="4.13"/>
        <n v="5.68"/>
        <n v="5.39"/>
        <n v="5.58"/>
        <n v="5.61"/>
        <n v="2.67"/>
        <n v="3.98"/>
        <n v="3.14"/>
        <n v="2.15"/>
        <n v="3.34"/>
        <n v="1.97"/>
        <n v="3.19"/>
        <n v="2.82"/>
        <n v="5.69"/>
        <n v="5.36"/>
        <n v="5.27"/>
        <n v="3.28"/>
        <n v="3.1"/>
        <n v="4.08"/>
        <n v="4.8499999999999996"/>
        <n v="3.57"/>
        <n v="4.62"/>
        <n v="5.72"/>
        <n v="4.68"/>
        <n v="4.0199999999999996"/>
        <n v="1.94"/>
        <n v="4.07"/>
        <n v="4.51"/>
        <n v="3.31"/>
        <n v="4.5999999999999996"/>
        <n v="5.1100000000000003"/>
        <n v="5.73"/>
        <n v="5.31"/>
        <n v="2.0699999999999998"/>
        <n v="3.86"/>
        <n v="4.7300000000000004"/>
        <n v="3.69"/>
        <n v="4.87"/>
        <n v="2.1"/>
        <n v="4.26"/>
        <n v="4.59"/>
        <n v="4.8099999999999996"/>
        <n v="5.03"/>
      </sharedItems>
    </cacheField>
    <cacheField name="Passenger carried" numFmtId="0">
      <sharedItems containsSemiMixedTypes="0" containsString="0" containsNumber="1" minValue="0" maxValue="50014"/>
    </cacheField>
    <cacheField name="Passenger KM" numFmtId="0">
      <sharedItems containsSemiMixedTypes="0" containsString="0" containsNumber="1" minValue="0" maxValue="1001924"/>
    </cacheField>
    <cacheField name="Staff strength" numFmtId="0">
      <sharedItems containsSemiMixedTypes="0" containsString="0" containsNumber="1" containsInteger="1" minValue="0" maxValue="123615"/>
    </cacheField>
    <cacheField name="Year" numFmtId="0">
      <sharedItems containsSemiMixedTypes="0" containsString="0" containsNumber="1" containsInteger="1" minValue="2008" maxValue="2018" count="11">
        <n v="2008"/>
        <n v="2009"/>
        <n v="2010"/>
        <n v="2011"/>
        <n v="2012"/>
        <n v="2013"/>
        <n v="2014"/>
        <n v="2015"/>
        <n v="2016"/>
        <n v="2017"/>
        <n v="2018"/>
      </sharedItems>
    </cacheField>
  </cacheFields>
  <extLst>
    <ext xmlns:x14="http://schemas.microsoft.com/office/spreadsheetml/2009/9/main" uri="{725AE2AE-9491-48be-B2B4-4EB974FC3084}">
      <x14:pivotCacheDefinition pivotCacheId="17925998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
  <r>
    <s v="2008-09"/>
    <x v="0"/>
    <x v="0"/>
    <x v="0"/>
    <n v="226"/>
    <x v="0"/>
    <n v="7"/>
    <n v="1571"/>
    <n v="1050"/>
    <x v="0"/>
  </r>
  <r>
    <s v="2008-09"/>
    <x v="1"/>
    <x v="1"/>
    <x v="1"/>
    <n v="532"/>
    <x v="1"/>
    <n v="896"/>
    <n v="13121"/>
    <n v="2877"/>
    <x v="0"/>
  </r>
  <r>
    <s v="2008-09"/>
    <x v="2"/>
    <x v="2"/>
    <x v="1"/>
    <n v="57"/>
    <x v="2"/>
    <n v="1"/>
    <n v="184"/>
    <n v="680"/>
    <x v="0"/>
  </r>
  <r>
    <s v="2008-09"/>
    <x v="3"/>
    <x v="3"/>
    <x v="1"/>
    <n v="3260"/>
    <x v="3"/>
    <n v="17432"/>
    <n v="166683"/>
    <n v="22594"/>
    <x v="0"/>
  </r>
  <r>
    <s v="2008-09"/>
    <x v="4"/>
    <x v="0"/>
    <x v="0"/>
    <n v="62"/>
    <x v="3"/>
    <n v="4"/>
    <n v="610"/>
    <n v="360"/>
    <x v="0"/>
  </r>
  <r>
    <s v="2008-09"/>
    <x v="5"/>
    <x v="4"/>
    <x v="1"/>
    <n v="998"/>
    <x v="4"/>
    <n v="290"/>
    <n v="64488"/>
    <n v="7591"/>
    <x v="0"/>
  </r>
  <r>
    <s v="2008-09"/>
    <x v="6"/>
    <x v="5"/>
    <x v="1"/>
    <n v="15695"/>
    <x v="4"/>
    <n v="23990"/>
    <n v="531887"/>
    <n v="97943"/>
    <x v="0"/>
  </r>
  <r>
    <s v="2008-09"/>
    <x v="7"/>
    <x v="6"/>
    <x v="0"/>
    <n v="6787"/>
    <x v="4"/>
    <n v="8116"/>
    <n v="297991"/>
    <n v="32100"/>
    <x v="0"/>
  </r>
  <r>
    <s v="2008-09"/>
    <x v="8"/>
    <x v="4"/>
    <x v="1"/>
    <n v="2876"/>
    <x v="5"/>
    <n v="11302"/>
    <n v="226758"/>
    <n v="17903"/>
    <x v="0"/>
  </r>
  <r>
    <s v="2008-09"/>
    <x v="9"/>
    <x v="7"/>
    <x v="1"/>
    <n v="3399"/>
    <x v="6"/>
    <n v="11432"/>
    <n v="275786"/>
    <n v="22669"/>
    <x v="0"/>
  </r>
  <r>
    <s v="2008-09"/>
    <x v="10"/>
    <x v="8"/>
    <x v="0"/>
    <n v="3299"/>
    <x v="4"/>
    <n v="3935"/>
    <n v="143301"/>
    <n v="18321"/>
    <x v="0"/>
  </r>
  <r>
    <s v="2008-09"/>
    <x v="11"/>
    <x v="9"/>
    <x v="1"/>
    <n v="9082"/>
    <x v="6"/>
    <n v="8749"/>
    <n v="334298"/>
    <n v="41667"/>
    <x v="0"/>
  </r>
  <r>
    <s v="2008-09"/>
    <x v="12"/>
    <x v="10"/>
    <x v="0"/>
    <n v="3805"/>
    <x v="7"/>
    <n v="8254"/>
    <n v="83987"/>
    <n v="28551"/>
    <x v="0"/>
  </r>
  <r>
    <s v="2008-09"/>
    <x v="13"/>
    <x v="4"/>
    <x v="1"/>
    <n v="406"/>
    <x v="1"/>
    <n v="773"/>
    <n v="21822"/>
    <n v="2172"/>
    <x v="0"/>
  </r>
  <r>
    <s v="2008-09"/>
    <x v="14"/>
    <x v="11"/>
    <x v="1"/>
    <n v="3941"/>
    <x v="8"/>
    <n v="15279"/>
    <n v="330468"/>
    <n v="24404"/>
    <x v="0"/>
  </r>
  <r>
    <s v="2008-09"/>
    <x v="15"/>
    <x v="12"/>
    <x v="1"/>
    <n v="1029"/>
    <x v="9"/>
    <n v="1736"/>
    <n v="16830"/>
    <n v="6710"/>
    <x v="0"/>
  </r>
  <r>
    <s v="2008-09"/>
    <x v="16"/>
    <x v="13"/>
    <x v="1"/>
    <n v="612"/>
    <x v="10"/>
    <n v="67"/>
    <n v="6078"/>
    <n v="2307"/>
    <x v="0"/>
  </r>
  <r>
    <s v="2008-09"/>
    <x v="17"/>
    <x v="14"/>
    <x v="0"/>
    <n v="5155"/>
    <x v="11"/>
    <n v="14085"/>
    <n v="171534"/>
    <n v="27648"/>
    <x v="0"/>
  </r>
  <r>
    <s v="2008-09"/>
    <x v="18"/>
    <x v="6"/>
    <x v="0"/>
    <n v="1941"/>
    <x v="12"/>
    <n v="6464"/>
    <n v="161250"/>
    <n v="12146"/>
    <x v="0"/>
  </r>
  <r>
    <s v="2008-09"/>
    <x v="19"/>
    <x v="7"/>
    <x v="1"/>
    <n v="3867"/>
    <x v="13"/>
    <n v="15986"/>
    <n v="123309"/>
    <n v="30924"/>
    <x v="0"/>
  </r>
  <r>
    <s v="2008-09"/>
    <x v="20"/>
    <x v="15"/>
    <x v="2"/>
    <n v="953"/>
    <x v="14"/>
    <n v="3088"/>
    <n v="21483"/>
    <n v="5727"/>
    <x v="0"/>
  </r>
  <r>
    <s v="2008-09"/>
    <x v="21"/>
    <x v="16"/>
    <x v="1"/>
    <n v="1426"/>
    <x v="14"/>
    <n v="3545"/>
    <n v="31743"/>
    <n v="10042"/>
    <x v="0"/>
  </r>
  <r>
    <s v="2008-09"/>
    <x v="22"/>
    <x v="17"/>
    <x v="1"/>
    <n v="296"/>
    <x v="11"/>
    <n v="57"/>
    <n v="179114"/>
    <n v="1065"/>
    <x v="0"/>
  </r>
  <r>
    <s v="2008-09"/>
    <x v="23"/>
    <x v="5"/>
    <x v="1"/>
    <n v="4793"/>
    <x v="15"/>
    <n v="7665"/>
    <n v="99280"/>
    <n v="25309"/>
    <x v="0"/>
  </r>
  <r>
    <s v="2008-09"/>
    <x v="24"/>
    <x v="18"/>
    <x v="1"/>
    <n v="2830"/>
    <x v="16"/>
    <n v="3610"/>
    <n v="14359"/>
    <n v="13793"/>
    <x v="0"/>
  </r>
  <r>
    <s v="2008-09"/>
    <x v="25"/>
    <x v="19"/>
    <x v="0"/>
    <n v="4537"/>
    <x v="5"/>
    <n v="3699"/>
    <n v="215709"/>
    <n v="20615"/>
    <x v="0"/>
  </r>
  <r>
    <s v="2008-09"/>
    <x v="26"/>
    <x v="13"/>
    <x v="1"/>
    <n v="791"/>
    <x v="7"/>
    <n v="1032"/>
    <n v="1571"/>
    <n v="4563"/>
    <x v="0"/>
  </r>
  <r>
    <s v="2009-10"/>
    <x v="9"/>
    <x v="7"/>
    <x v="1"/>
    <n v="3541"/>
    <x v="5"/>
    <n v="11873"/>
    <n v="289783"/>
    <n v="22921"/>
    <x v="1"/>
  </r>
  <r>
    <s v="2009-10"/>
    <x v="14"/>
    <x v="4"/>
    <x v="1"/>
    <n v="4053"/>
    <x v="6"/>
    <n v="15605"/>
    <n v="367047"/>
    <n v="25358"/>
    <x v="1"/>
  </r>
  <r>
    <s v="2009-10"/>
    <x v="18"/>
    <x v="20"/>
    <x v="1"/>
    <n v="2055"/>
    <x v="12"/>
    <n v="6680"/>
    <n v="171109"/>
    <n v="12724"/>
    <x v="1"/>
  </r>
  <r>
    <s v="2009-10"/>
    <x v="27"/>
    <x v="21"/>
    <x v="0"/>
    <n v="3237"/>
    <x v="12"/>
    <n v="10330"/>
    <n v="306638"/>
    <n v="21118"/>
    <x v="1"/>
  </r>
  <r>
    <s v="2009-10"/>
    <x v="28"/>
    <x v="6"/>
    <x v="0"/>
    <n v="39"/>
    <x v="6"/>
    <n v="12"/>
    <n v="606"/>
    <n v="506"/>
    <x v="1"/>
  </r>
  <r>
    <s v="2009-10"/>
    <x v="20"/>
    <x v="22"/>
    <x v="1"/>
    <n v="966"/>
    <x v="14"/>
    <n v="2986"/>
    <n v="21150"/>
    <n v="5592"/>
    <x v="1"/>
  </r>
  <r>
    <s v="2009-10"/>
    <x v="19"/>
    <x v="7"/>
    <x v="1"/>
    <n v="4078"/>
    <x v="17"/>
    <n v="15953"/>
    <n v="127566"/>
    <n v="29494"/>
    <x v="1"/>
  </r>
  <r>
    <s v="2009-10"/>
    <x v="17"/>
    <x v="23"/>
    <x v="0"/>
    <n v="5715"/>
    <x v="1"/>
    <n v="14708"/>
    <n v="182917"/>
    <n v="30996"/>
    <x v="1"/>
  </r>
  <r>
    <s v="2009-10"/>
    <x v="16"/>
    <x v="24"/>
    <x v="1"/>
    <n v="424"/>
    <x v="7"/>
    <n v="47"/>
    <n v="3825"/>
    <n v="2036"/>
    <x v="1"/>
  </r>
  <r>
    <s v="2009-10"/>
    <x v="15"/>
    <x v="25"/>
    <x v="1"/>
    <n v="977"/>
    <x v="14"/>
    <n v="1854"/>
    <n v="19128"/>
    <n v="6719"/>
    <x v="1"/>
  </r>
  <r>
    <s v="2009-10"/>
    <x v="13"/>
    <x v="26"/>
    <x v="0"/>
    <n v="409"/>
    <x v="7"/>
    <n v="671"/>
    <n v="18819"/>
    <n v="2096"/>
    <x v="1"/>
  </r>
  <r>
    <s v="2009-10"/>
    <x v="12"/>
    <x v="20"/>
    <x v="1"/>
    <n v="3841"/>
    <x v="3"/>
    <n v="8817"/>
    <n v="95069"/>
    <n v="29180"/>
    <x v="1"/>
  </r>
  <r>
    <s v="2009-10"/>
    <x v="11"/>
    <x v="27"/>
    <x v="1"/>
    <n v="7643"/>
    <x v="18"/>
    <n v="8483"/>
    <n v="330395"/>
    <n v="40073"/>
    <x v="1"/>
  </r>
  <r>
    <s v="2009-10"/>
    <x v="7"/>
    <x v="28"/>
    <x v="0"/>
    <n v="7002"/>
    <x v="19"/>
    <n v="8634"/>
    <n v="304596"/>
    <n v="31995"/>
    <x v="1"/>
  </r>
  <r>
    <s v="2009-10"/>
    <x v="6"/>
    <x v="29"/>
    <x v="0"/>
    <n v="15955"/>
    <x v="5"/>
    <n v="23799"/>
    <n v="533655"/>
    <n v="101138"/>
    <x v="1"/>
  </r>
  <r>
    <s v="2009-10"/>
    <x v="4"/>
    <x v="2"/>
    <x v="1"/>
    <n v="62"/>
    <x v="3"/>
    <n v="6"/>
    <n v="543"/>
    <n v="344"/>
    <x v="1"/>
  </r>
  <r>
    <s v="2009-10"/>
    <x v="3"/>
    <x v="30"/>
    <x v="0"/>
    <n v="3262"/>
    <x v="20"/>
    <n v="18998"/>
    <n v="194688"/>
    <n v="23000"/>
    <x v="1"/>
  </r>
  <r>
    <s v="2009-10"/>
    <x v="2"/>
    <x v="31"/>
    <x v="1"/>
    <n v="54"/>
    <x v="2"/>
    <n v="1"/>
    <n v="156"/>
    <n v="650"/>
    <x v="1"/>
  </r>
  <r>
    <s v="2009-10"/>
    <x v="0"/>
    <x v="32"/>
    <x v="1"/>
    <n v="216"/>
    <x v="21"/>
    <n v="15"/>
    <n v="1538"/>
    <n v="1050"/>
    <x v="1"/>
  </r>
  <r>
    <s v="2009-10"/>
    <x v="26"/>
    <x v="22"/>
    <x v="1"/>
    <n v="802"/>
    <x v="3"/>
    <n v="805"/>
    <n v="14760"/>
    <n v="4273"/>
    <x v="1"/>
  </r>
  <r>
    <s v="2009-10"/>
    <x v="24"/>
    <x v="6"/>
    <x v="0"/>
    <n v="3686"/>
    <x v="16"/>
    <n v="4116"/>
    <n v="131253"/>
    <n v="18038"/>
    <x v="1"/>
  </r>
  <r>
    <s v="2009-10"/>
    <x v="23"/>
    <x v="33"/>
    <x v="1"/>
    <n v="4675"/>
    <x v="5"/>
    <n v="6935"/>
    <n v="168302"/>
    <n v="21498"/>
    <x v="1"/>
  </r>
  <r>
    <s v="2009-10"/>
    <x v="22"/>
    <x v="25"/>
    <x v="1"/>
    <n v="321"/>
    <x v="20"/>
    <n v="52"/>
    <n v="10821"/>
    <n v="990"/>
    <x v="1"/>
  </r>
  <r>
    <s v="2009-10"/>
    <x v="21"/>
    <x v="18"/>
    <x v="1"/>
    <n v="1614"/>
    <x v="14"/>
    <n v="4273"/>
    <n v="36117"/>
    <n v="10294"/>
    <x v="1"/>
  </r>
  <r>
    <s v="2009-10"/>
    <x v="25"/>
    <x v="18"/>
    <x v="1"/>
    <n v="4602"/>
    <x v="5"/>
    <n v="3784"/>
    <n v="223273"/>
    <n v="20389"/>
    <x v="1"/>
  </r>
  <r>
    <s v="2009-10"/>
    <x v="1"/>
    <x v="27"/>
    <x v="1"/>
    <n v="453"/>
    <x v="1"/>
    <n v="980"/>
    <n v="15317"/>
    <n v="2416"/>
    <x v="1"/>
  </r>
  <r>
    <s v="2009-10"/>
    <x v="5"/>
    <x v="8"/>
    <x v="0"/>
    <n v="1005"/>
    <x v="5"/>
    <n v="278"/>
    <n v="66960"/>
    <n v="6978"/>
    <x v="1"/>
  </r>
  <r>
    <s v="2009-10"/>
    <x v="8"/>
    <x v="34"/>
    <x v="1"/>
    <n v="2909"/>
    <x v="2"/>
    <n v="10882"/>
    <n v="235602"/>
    <n v="18114"/>
    <x v="1"/>
  </r>
  <r>
    <s v="2010-11"/>
    <x v="23"/>
    <x v="33"/>
    <x v="1"/>
    <n v="4259"/>
    <x v="5"/>
    <n v="6753"/>
    <n v="167753"/>
    <n v="21458"/>
    <x v="2"/>
  </r>
  <r>
    <s v="2010-11"/>
    <x v="20"/>
    <x v="35"/>
    <x v="1"/>
    <n v="942"/>
    <x v="14"/>
    <n v="2904"/>
    <n v="21021"/>
    <n v="5274"/>
    <x v="2"/>
  </r>
  <r>
    <s v="2010-11"/>
    <x v="19"/>
    <x v="36"/>
    <x v="1"/>
    <n v="4652"/>
    <x v="17"/>
    <n v="15352"/>
    <n v="123071"/>
    <n v="30183"/>
    <x v="2"/>
  </r>
  <r>
    <s v="2010-11"/>
    <x v="17"/>
    <x v="37"/>
    <x v="0"/>
    <n v="6110"/>
    <x v="7"/>
    <n v="15603"/>
    <n v="197604"/>
    <n v="32953"/>
    <x v="2"/>
  </r>
  <r>
    <s v="2010-11"/>
    <x v="16"/>
    <x v="38"/>
    <x v="1"/>
    <n v="424"/>
    <x v="3"/>
    <n v="55"/>
    <n v="4317"/>
    <n v="1765"/>
    <x v="2"/>
  </r>
  <r>
    <s v="2010-11"/>
    <x v="15"/>
    <x v="20"/>
    <x v="1"/>
    <n v="956"/>
    <x v="22"/>
    <n v="1686"/>
    <n v="12108"/>
    <n v="6102"/>
    <x v="2"/>
  </r>
  <r>
    <s v="2010-11"/>
    <x v="13"/>
    <x v="39"/>
    <x v="0"/>
    <n v="471"/>
    <x v="1"/>
    <n v="788"/>
    <n v="20216"/>
    <n v="2136"/>
    <x v="2"/>
  </r>
  <r>
    <s v="2010-11"/>
    <x v="7"/>
    <x v="28"/>
    <x v="0"/>
    <n v="7164"/>
    <x v="4"/>
    <n v="8476"/>
    <n v="329638"/>
    <n v="34019"/>
    <x v="2"/>
  </r>
  <r>
    <s v="2010-11"/>
    <x v="6"/>
    <x v="8"/>
    <x v="0"/>
    <n v="16212"/>
    <x v="4"/>
    <n v="25380"/>
    <n v="543987"/>
    <n v="103565"/>
    <x v="2"/>
  </r>
  <r>
    <s v="2010-11"/>
    <x v="4"/>
    <x v="2"/>
    <x v="1"/>
    <n v="50"/>
    <x v="7"/>
    <n v="6"/>
    <n v="514"/>
    <n v="324"/>
    <x v="2"/>
  </r>
  <r>
    <s v="2010-11"/>
    <x v="3"/>
    <x v="40"/>
    <x v="0"/>
    <n v="3414"/>
    <x v="11"/>
    <n v="20145"/>
    <n v="217963"/>
    <n v="23540"/>
    <x v="2"/>
  </r>
  <r>
    <s v="2010-11"/>
    <x v="2"/>
    <x v="41"/>
    <x v="1"/>
    <n v="53"/>
    <x v="14"/>
    <n v="2"/>
    <n v="204"/>
    <n v="650"/>
    <x v="2"/>
  </r>
  <r>
    <s v="2010-11"/>
    <x v="0"/>
    <x v="36"/>
    <x v="1"/>
    <n v="203"/>
    <x v="21"/>
    <n v="0"/>
    <n v="1715"/>
    <n v="1050"/>
    <x v="2"/>
  </r>
  <r>
    <s v="2010-11"/>
    <x v="26"/>
    <x v="42"/>
    <x v="1"/>
    <n v="783"/>
    <x v="3"/>
    <n v="575"/>
    <n v="13951"/>
    <n v="3959"/>
    <x v="2"/>
  </r>
  <r>
    <s v="2010-11"/>
    <x v="24"/>
    <x v="43"/>
    <x v="0"/>
    <n v="3773"/>
    <x v="16"/>
    <n v="4563"/>
    <n v="137650"/>
    <n v="17586"/>
    <x v="2"/>
  </r>
  <r>
    <s v="2010-11"/>
    <x v="22"/>
    <x v="37"/>
    <x v="0"/>
    <n v="333"/>
    <x v="20"/>
    <n v="48"/>
    <n v="10588"/>
    <n v="938"/>
    <x v="2"/>
  </r>
  <r>
    <s v="2010-11"/>
    <x v="21"/>
    <x v="9"/>
    <x v="1"/>
    <n v="1549"/>
    <x v="22"/>
    <n v="4500"/>
    <n v="36395"/>
    <n v="9780"/>
    <x v="2"/>
  </r>
  <r>
    <s v="2010-11"/>
    <x v="25"/>
    <x v="29"/>
    <x v="0"/>
    <n v="4476"/>
    <x v="15"/>
    <n v="3391"/>
    <n v="222004"/>
    <n v="20486"/>
    <x v="2"/>
  </r>
  <r>
    <s v="2010-11"/>
    <x v="1"/>
    <x v="24"/>
    <x v="1"/>
    <n v="408"/>
    <x v="1"/>
    <n v="927"/>
    <n v="14916"/>
    <n v="2388"/>
    <x v="2"/>
  </r>
  <r>
    <s v="2010-11"/>
    <x v="5"/>
    <x v="8"/>
    <x v="0"/>
    <n v="1000"/>
    <x v="5"/>
    <n v="270"/>
    <n v="67286"/>
    <n v="6592"/>
    <x v="2"/>
  </r>
  <r>
    <s v="2010-11"/>
    <x v="8"/>
    <x v="28"/>
    <x v="0"/>
    <n v="3014"/>
    <x v="23"/>
    <n v="10656"/>
    <n v="249006"/>
    <n v="18466"/>
    <x v="2"/>
  </r>
  <r>
    <s v="2010-11"/>
    <x v="9"/>
    <x v="43"/>
    <x v="0"/>
    <n v="3596"/>
    <x v="5"/>
    <n v="11822"/>
    <n v="303226"/>
    <n v="22733"/>
    <x v="2"/>
  </r>
  <r>
    <s v="2010-11"/>
    <x v="14"/>
    <x v="29"/>
    <x v="0"/>
    <n v="3460"/>
    <x v="6"/>
    <n v="12289"/>
    <n v="306149"/>
    <n v="14588"/>
    <x v="2"/>
  </r>
  <r>
    <s v="2010-11"/>
    <x v="18"/>
    <x v="8"/>
    <x v="0"/>
    <n v="2056"/>
    <x v="6"/>
    <n v="6966"/>
    <n v="178818"/>
    <n v="12750"/>
    <x v="2"/>
  </r>
  <r>
    <s v="2010-11"/>
    <x v="27"/>
    <x v="14"/>
    <x v="0"/>
    <n v="3316"/>
    <x v="6"/>
    <n v="10746"/>
    <n v="322239"/>
    <n v="21546"/>
    <x v="2"/>
  </r>
  <r>
    <s v="2011-12"/>
    <x v="5"/>
    <x v="8"/>
    <x v="0"/>
    <n v="959"/>
    <x v="15"/>
    <n v="235"/>
    <n v="61070"/>
    <n v="6146"/>
    <x v="3"/>
  </r>
  <r>
    <s v="2011-12"/>
    <x v="19"/>
    <x v="25"/>
    <x v="1"/>
    <n v="4669"/>
    <x v="17"/>
    <n v="14395"/>
    <n v="123353"/>
    <n v="35345"/>
    <x v="3"/>
  </r>
  <r>
    <s v="2011-12"/>
    <x v="17"/>
    <x v="19"/>
    <x v="0"/>
    <n v="6092"/>
    <x v="7"/>
    <n v="15920"/>
    <n v="232759"/>
    <n v="32331"/>
    <x v="3"/>
  </r>
  <r>
    <s v="2011-12"/>
    <x v="16"/>
    <x v="44"/>
    <x v="1"/>
    <n v="414"/>
    <x v="24"/>
    <n v="53"/>
    <n v="4075"/>
    <n v="1516"/>
    <x v="3"/>
  </r>
  <r>
    <s v="2011-12"/>
    <x v="25"/>
    <x v="39"/>
    <x v="0"/>
    <n v="4383"/>
    <x v="5"/>
    <n v="3308"/>
    <n v="303312"/>
    <n v="21053"/>
    <x v="3"/>
  </r>
  <r>
    <s v="2011-12"/>
    <x v="15"/>
    <x v="45"/>
    <x v="0"/>
    <n v="839"/>
    <x v="13"/>
    <n v="1164"/>
    <n v="11996"/>
    <n v="5813"/>
    <x v="3"/>
  </r>
  <r>
    <s v="2011-12"/>
    <x v="13"/>
    <x v="36"/>
    <x v="1"/>
    <n v="493"/>
    <x v="21"/>
    <n v="794"/>
    <n v="19614"/>
    <n v="2055"/>
    <x v="3"/>
  </r>
  <r>
    <s v="2011-12"/>
    <x v="12"/>
    <x v="37"/>
    <x v="0"/>
    <n v="6077"/>
    <x v="25"/>
    <n v="16177"/>
    <n v="90237"/>
    <n v="40721"/>
    <x v="3"/>
  </r>
  <r>
    <s v="2011-12"/>
    <x v="11"/>
    <x v="29"/>
    <x v="0"/>
    <n v="7663"/>
    <x v="6"/>
    <n v="8559"/>
    <n v="351240"/>
    <n v="41863"/>
    <x v="3"/>
  </r>
  <r>
    <s v="2011-12"/>
    <x v="10"/>
    <x v="13"/>
    <x v="1"/>
    <n v="3755"/>
    <x v="19"/>
    <n v="4028"/>
    <n v="139868"/>
    <n v="16610"/>
    <x v="3"/>
  </r>
  <r>
    <s v="2011-12"/>
    <x v="21"/>
    <x v="46"/>
    <x v="1"/>
    <n v="1634"/>
    <x v="2"/>
    <n v="4497"/>
    <n v="38690"/>
    <n v="9633"/>
    <x v="3"/>
  </r>
  <r>
    <s v="2011-12"/>
    <x v="29"/>
    <x v="37"/>
    <x v="0"/>
    <n v="22170"/>
    <x v="15"/>
    <n v="50014"/>
    <n v="1001924"/>
    <n v="123615"/>
    <x v="3"/>
  </r>
  <r>
    <s v="2011-12"/>
    <x v="30"/>
    <x v="24"/>
    <x v="1"/>
    <n v="412"/>
    <x v="11"/>
    <n v="306"/>
    <n v="1150"/>
    <n v="1889"/>
    <x v="3"/>
  </r>
  <r>
    <s v="2011-12"/>
    <x v="8"/>
    <x v="37"/>
    <x v="0"/>
    <n v="3046"/>
    <x v="15"/>
    <n v="9963"/>
    <n v="233316"/>
    <n v="18214"/>
    <x v="3"/>
  </r>
  <r>
    <s v="2011-12"/>
    <x v="7"/>
    <x v="47"/>
    <x v="0"/>
    <n v="7621"/>
    <x v="4"/>
    <n v="8867"/>
    <n v="351240"/>
    <n v="36448"/>
    <x v="3"/>
  </r>
  <r>
    <s v="2011-12"/>
    <x v="31"/>
    <x v="32"/>
    <x v="1"/>
    <n v="5742"/>
    <x v="3"/>
    <n v="12579"/>
    <n v="6558"/>
    <n v="39911"/>
    <x v="3"/>
  </r>
  <r>
    <s v="2011-12"/>
    <x v="9"/>
    <x v="39"/>
    <x v="0"/>
    <n v="3614"/>
    <x v="6"/>
    <n v="11528"/>
    <n v="296609"/>
    <n v="22314"/>
    <x v="3"/>
  </r>
  <r>
    <s v="2011-12"/>
    <x v="6"/>
    <x v="8"/>
    <x v="0"/>
    <n v="16801"/>
    <x v="4"/>
    <n v="26004"/>
    <n v="556295"/>
    <n v="104566"/>
    <x v="3"/>
  </r>
  <r>
    <s v="2011-12"/>
    <x v="4"/>
    <x v="17"/>
    <x v="1"/>
    <n v="50"/>
    <x v="20"/>
    <n v="4"/>
    <n v="352"/>
    <n v="307"/>
    <x v="3"/>
  </r>
  <r>
    <s v="2011-12"/>
    <x v="3"/>
    <x v="47"/>
    <x v="0"/>
    <n v="3446"/>
    <x v="11"/>
    <n v="19769"/>
    <n v="213249"/>
    <n v="22146"/>
    <x v="3"/>
  </r>
  <r>
    <s v="2011-12"/>
    <x v="14"/>
    <x v="48"/>
    <x v="0"/>
    <n v="2480"/>
    <x v="12"/>
    <n v="7696"/>
    <n v="222214"/>
    <n v="14141"/>
    <x v="3"/>
  </r>
  <r>
    <s v="2011-12"/>
    <x v="2"/>
    <x v="11"/>
    <x v="1"/>
    <n v="47"/>
    <x v="14"/>
    <n v="1"/>
    <n v="176"/>
    <n v="650"/>
    <x v="3"/>
  </r>
  <r>
    <s v="2011-12"/>
    <x v="18"/>
    <x v="33"/>
    <x v="1"/>
    <n v="2067"/>
    <x v="12"/>
    <n v="6941"/>
    <n v="169389"/>
    <n v="12379"/>
    <x v="3"/>
  </r>
  <r>
    <s v="2011-12"/>
    <x v="0"/>
    <x v="24"/>
    <x v="1"/>
    <n v="220"/>
    <x v="0"/>
    <n v="18"/>
    <n v="2560"/>
    <n v="1050"/>
    <x v="3"/>
  </r>
  <r>
    <s v="2011-12"/>
    <x v="27"/>
    <x v="19"/>
    <x v="0"/>
    <n v="3325"/>
    <x v="6"/>
    <n v="9718"/>
    <n v="309167"/>
    <n v="21226"/>
    <x v="3"/>
  </r>
  <r>
    <s v="2011-12"/>
    <x v="26"/>
    <x v="49"/>
    <x v="1"/>
    <n v="704"/>
    <x v="1"/>
    <n v="589"/>
    <n v="13427"/>
    <n v="3690"/>
    <x v="3"/>
  </r>
  <r>
    <s v="2011-12"/>
    <x v="24"/>
    <x v="45"/>
    <x v="0"/>
    <n v="3992"/>
    <x v="16"/>
    <n v="4745"/>
    <n v="153477"/>
    <n v="18714"/>
    <x v="3"/>
  </r>
  <r>
    <s v="2011-12"/>
    <x v="1"/>
    <x v="31"/>
    <x v="1"/>
    <n v="484"/>
    <x v="1"/>
    <n v="944"/>
    <n v="14875"/>
    <n v="2316"/>
    <x v="3"/>
  </r>
  <r>
    <s v="2011-12"/>
    <x v="28"/>
    <x v="37"/>
    <x v="0"/>
    <n v="62"/>
    <x v="1"/>
    <n v="9"/>
    <n v="464"/>
    <n v="517"/>
    <x v="3"/>
  </r>
  <r>
    <s v="2011-12"/>
    <x v="23"/>
    <x v="4"/>
    <x v="1"/>
    <n v="4184"/>
    <x v="15"/>
    <n v="7686"/>
    <n v="151141"/>
    <n v="21009"/>
    <x v="3"/>
  </r>
  <r>
    <s v="2012-13"/>
    <x v="32"/>
    <x v="50"/>
    <x v="0"/>
    <n v="7831"/>
    <x v="19"/>
    <n v="9391"/>
    <n v="368679"/>
    <n v="36249"/>
    <x v="4"/>
  </r>
  <r>
    <s v="2012-13"/>
    <x v="18"/>
    <x v="4"/>
    <x v="1"/>
    <n v="2107"/>
    <x v="12"/>
    <n v="5880"/>
    <n v="167153"/>
    <n v="13075"/>
    <x v="4"/>
  </r>
  <r>
    <s v="2012-13"/>
    <x v="6"/>
    <x v="10"/>
    <x v="0"/>
    <n v="17497"/>
    <x v="4"/>
    <n v="26064"/>
    <n v="536151"/>
    <n v="100052"/>
    <x v="4"/>
  </r>
  <r>
    <s v="2012-13"/>
    <x v="10"/>
    <x v="10"/>
    <x v="0"/>
    <n v="3755"/>
    <x v="19"/>
    <n v="4527"/>
    <n v="164849"/>
    <n v="18974"/>
    <x v="4"/>
  </r>
  <r>
    <s v="2012-13"/>
    <x v="4"/>
    <x v="17"/>
    <x v="1"/>
    <n v="52"/>
    <x v="9"/>
    <n v="3"/>
    <n v="275"/>
    <n v="288"/>
    <x v="4"/>
  </r>
  <r>
    <s v="2012-13"/>
    <x v="26"/>
    <x v="22"/>
    <x v="1"/>
    <n v="720"/>
    <x v="7"/>
    <n v="672"/>
    <n v="15614"/>
    <n v="3410"/>
    <x v="4"/>
  </r>
  <r>
    <s v="2012-13"/>
    <x v="14"/>
    <x v="51"/>
    <x v="0"/>
    <n v="2409"/>
    <x v="12"/>
    <n v="6797"/>
    <n v="188091"/>
    <n v="14735"/>
    <x v="4"/>
  </r>
  <r>
    <s v="2012-13"/>
    <x v="24"/>
    <x v="33"/>
    <x v="1"/>
    <n v="4058"/>
    <x v="8"/>
    <n v="4836"/>
    <n v="154908"/>
    <n v="18455"/>
    <x v="4"/>
  </r>
  <r>
    <s v="2012-13"/>
    <x v="21"/>
    <x v="46"/>
    <x v="1"/>
    <n v="1832"/>
    <x v="2"/>
    <n v="4352"/>
    <n v="43985"/>
    <n v="10879"/>
    <x v="4"/>
  </r>
  <r>
    <s v="2012-13"/>
    <x v="9"/>
    <x v="45"/>
    <x v="0"/>
    <n v="3678"/>
    <x v="18"/>
    <n v="10617"/>
    <n v="264658"/>
    <n v="22106"/>
    <x v="4"/>
  </r>
  <r>
    <s v="2012-13"/>
    <x v="25"/>
    <x v="29"/>
    <x v="0"/>
    <n v="4480"/>
    <x v="4"/>
    <n v="3129"/>
    <n v="211371"/>
    <n v="19822"/>
    <x v="4"/>
  </r>
  <r>
    <s v="2012-13"/>
    <x v="8"/>
    <x v="43"/>
    <x v="0"/>
    <n v="3129"/>
    <x v="8"/>
    <n v="9142"/>
    <n v="223705"/>
    <n v="17555"/>
    <x v="4"/>
  </r>
  <r>
    <s v="2012-13"/>
    <x v="1"/>
    <x v="31"/>
    <x v="1"/>
    <n v="477"/>
    <x v="1"/>
    <n v="948"/>
    <n v="16040"/>
    <n v="2244"/>
    <x v="4"/>
  </r>
  <r>
    <s v="2012-13"/>
    <x v="19"/>
    <x v="12"/>
    <x v="1"/>
    <n v="4484"/>
    <x v="17"/>
    <n v="14096"/>
    <n v="114458"/>
    <n v="36620"/>
    <x v="4"/>
  </r>
  <r>
    <s v="2012-13"/>
    <x v="28"/>
    <x v="5"/>
    <x v="1"/>
    <n v="63"/>
    <x v="5"/>
    <n v="9"/>
    <n v="393"/>
    <n v="480"/>
    <x v="4"/>
  </r>
  <r>
    <s v="2012-13"/>
    <x v="5"/>
    <x v="26"/>
    <x v="0"/>
    <n v="1042"/>
    <x v="15"/>
    <n v="242"/>
    <n v="67143"/>
    <n v="7002"/>
    <x v="4"/>
  </r>
  <r>
    <s v="2012-13"/>
    <x v="20"/>
    <x v="52"/>
    <x v="1"/>
    <n v="1120"/>
    <x v="26"/>
    <n v="2396"/>
    <n v="19023"/>
    <n v="5739"/>
    <x v="4"/>
  </r>
  <r>
    <s v="2012-13"/>
    <x v="33"/>
    <x v="8"/>
    <x v="0"/>
    <n v="1215"/>
    <x v="27"/>
    <n v="359"/>
    <n v="1298"/>
    <n v="7588"/>
    <x v="4"/>
  </r>
  <r>
    <s v="2012-13"/>
    <x v="34"/>
    <x v="53"/>
    <x v="1"/>
    <n v="227"/>
    <x v="14"/>
    <n v="133"/>
    <n v="90"/>
    <n v="858"/>
    <x v="4"/>
  </r>
  <r>
    <s v="2012-13"/>
    <x v="35"/>
    <x v="13"/>
    <x v="1"/>
    <n v="1201"/>
    <x v="2"/>
    <n v="1252"/>
    <n v="45132"/>
    <n v="2500"/>
    <x v="4"/>
  </r>
  <r>
    <s v="2012-13"/>
    <x v="36"/>
    <x v="13"/>
    <x v="1"/>
    <n v="95"/>
    <x v="24"/>
    <n v="13"/>
    <n v="441"/>
    <n v="870"/>
    <x v="4"/>
  </r>
  <r>
    <s v="2012-13"/>
    <x v="37"/>
    <x v="2"/>
    <x v="1"/>
    <n v="207"/>
    <x v="2"/>
    <n v="0.3"/>
    <n v="78"/>
    <n v="809"/>
    <x v="4"/>
  </r>
  <r>
    <s v="2012-13"/>
    <x v="30"/>
    <x v="32"/>
    <x v="1"/>
    <n v="425"/>
    <x v="20"/>
    <n v="301"/>
    <n v="7902"/>
    <n v="1861"/>
    <x v="4"/>
  </r>
  <r>
    <s v="2012-13"/>
    <x v="38"/>
    <x v="13"/>
    <x v="1"/>
    <n v="726"/>
    <x v="20"/>
    <n v="372"/>
    <n v="16750"/>
    <n v="5013"/>
    <x v="4"/>
  </r>
  <r>
    <s v="2012-13"/>
    <x v="3"/>
    <x v="51"/>
    <x v="0"/>
    <n v="3585"/>
    <x v="24"/>
    <n v="17544"/>
    <n v="187962"/>
    <n v="23519"/>
    <x v="4"/>
  </r>
  <r>
    <s v="2012-13"/>
    <x v="17"/>
    <x v="43"/>
    <x v="0"/>
    <n v="6328"/>
    <x v="21"/>
    <n v="17112"/>
    <n v="214586"/>
    <n v="34278"/>
    <x v="4"/>
  </r>
  <r>
    <s v="2012-13"/>
    <x v="16"/>
    <x v="54"/>
    <x v="2"/>
    <n v="414"/>
    <x v="24"/>
    <n v="53"/>
    <n v="3575"/>
    <n v="1204"/>
    <x v="4"/>
  </r>
  <r>
    <s v="2012-13"/>
    <x v="15"/>
    <x v="55"/>
    <x v="1"/>
    <n v="779"/>
    <x v="13"/>
    <n v="1077"/>
    <n v="12175"/>
    <n v="5485"/>
    <x v="4"/>
  </r>
  <r>
    <s v="2012-13"/>
    <x v="12"/>
    <x v="4"/>
    <x v="1"/>
    <n v="5602"/>
    <x v="28"/>
    <n v="17072"/>
    <n v="180220"/>
    <n v="38103"/>
    <x v="4"/>
  </r>
  <r>
    <s v="2012-13"/>
    <x v="27"/>
    <x v="45"/>
    <x v="0"/>
    <n v="3400"/>
    <x v="18"/>
    <n v="8568"/>
    <n v="280069"/>
    <n v="22629"/>
    <x v="4"/>
  </r>
  <r>
    <s v="2012-13"/>
    <x v="13"/>
    <x v="25"/>
    <x v="1"/>
    <n v="472"/>
    <x v="9"/>
    <n v="672"/>
    <n v="17165"/>
    <n v="1921"/>
    <x v="4"/>
  </r>
  <r>
    <s v="2012-13"/>
    <x v="39"/>
    <x v="17"/>
    <x v="1"/>
    <n v="704"/>
    <x v="3"/>
    <n v="51"/>
    <n v="6929"/>
    <n v="2207"/>
    <x v="4"/>
  </r>
  <r>
    <s v="2013-14"/>
    <x v="34"/>
    <x v="56"/>
    <x v="1"/>
    <n v="258"/>
    <x v="29"/>
    <n v="102"/>
    <n v="100"/>
    <n v="858"/>
    <x v="5"/>
  </r>
  <r>
    <s v="2013-14"/>
    <x v="17"/>
    <x v="36"/>
    <x v="1"/>
    <n v="6603"/>
    <x v="30"/>
    <n v="18342"/>
    <n v="198797"/>
    <n v="36076"/>
    <x v="5"/>
  </r>
  <r>
    <s v="2013-14"/>
    <x v="16"/>
    <x v="57"/>
    <x v="2"/>
    <n v="414"/>
    <x v="31"/>
    <n v="26"/>
    <n v="2678"/>
    <n v="920"/>
    <x v="5"/>
  </r>
  <r>
    <s v="2013-14"/>
    <x v="15"/>
    <x v="20"/>
    <x v="1"/>
    <n v="718"/>
    <x v="32"/>
    <n v="865"/>
    <n v="10120"/>
    <n v="5059"/>
    <x v="5"/>
  </r>
  <r>
    <s v="2013-14"/>
    <x v="12"/>
    <x v="31"/>
    <x v="1"/>
    <n v="5341"/>
    <x v="33"/>
    <n v="15868"/>
    <n v="155143"/>
    <n v="35503"/>
    <x v="5"/>
  </r>
  <r>
    <s v="2013-14"/>
    <x v="27"/>
    <x v="19"/>
    <x v="0"/>
    <n v="3469"/>
    <x v="34"/>
    <n v="8498"/>
    <n v="284793"/>
    <n v="22821"/>
    <x v="5"/>
  </r>
  <r>
    <s v="2013-14"/>
    <x v="11"/>
    <x v="8"/>
    <x v="0"/>
    <n v="7852"/>
    <x v="6"/>
    <n v="8050"/>
    <n v="336104"/>
    <n v="40070"/>
    <x v="5"/>
  </r>
  <r>
    <s v="2013-14"/>
    <x v="39"/>
    <x v="58"/>
    <x v="2"/>
    <n v="694"/>
    <x v="35"/>
    <n v="52"/>
    <n v="6436"/>
    <n v="2035"/>
    <x v="5"/>
  </r>
  <r>
    <s v="2013-14"/>
    <x v="18"/>
    <x v="20"/>
    <x v="1"/>
    <n v="2237"/>
    <x v="36"/>
    <n v="5654"/>
    <n v="162010"/>
    <n v="14106"/>
    <x v="5"/>
  </r>
  <r>
    <s v="2013-14"/>
    <x v="32"/>
    <x v="21"/>
    <x v="0"/>
    <n v="8243"/>
    <x v="37"/>
    <n v="9662"/>
    <n v="354625"/>
    <n v="38776"/>
    <x v="5"/>
  </r>
  <r>
    <s v="2013-14"/>
    <x v="13"/>
    <x v="27"/>
    <x v="1"/>
    <n v="468"/>
    <x v="38"/>
    <n v="612"/>
    <n v="15419"/>
    <n v="1826"/>
    <x v="5"/>
  </r>
  <r>
    <s v="2013-14"/>
    <x v="6"/>
    <x v="8"/>
    <x v="0"/>
    <n v="18055"/>
    <x v="39"/>
    <n v="25630"/>
    <n v="525761"/>
    <n v="107709"/>
    <x v="5"/>
  </r>
  <r>
    <s v="2013-14"/>
    <x v="40"/>
    <x v="15"/>
    <x v="2"/>
    <n v="82"/>
    <x v="14"/>
    <n v="164"/>
    <n v="55"/>
    <n v="550"/>
    <x v="5"/>
  </r>
  <r>
    <s v="2013-14"/>
    <x v="4"/>
    <x v="2"/>
    <x v="1"/>
    <n v="65"/>
    <x v="40"/>
    <n v="4"/>
    <n v="394"/>
    <n v="276"/>
    <x v="5"/>
  </r>
  <r>
    <s v="2013-14"/>
    <x v="14"/>
    <x v="37"/>
    <x v="0"/>
    <n v="2509"/>
    <x v="41"/>
    <n v="6713"/>
    <n v="190221"/>
    <n v="14813"/>
    <x v="5"/>
  </r>
  <r>
    <s v="2013-14"/>
    <x v="26"/>
    <x v="59"/>
    <x v="1"/>
    <n v="688"/>
    <x v="42"/>
    <n v="645"/>
    <n v="14560"/>
    <n v="3111"/>
    <x v="5"/>
  </r>
  <r>
    <s v="2013-14"/>
    <x v="21"/>
    <x v="2"/>
    <x v="1"/>
    <n v="1841"/>
    <x v="43"/>
    <n v="4249"/>
    <n v="47931"/>
    <n v="10466"/>
    <x v="5"/>
  </r>
  <r>
    <s v="2013-14"/>
    <x v="24"/>
    <x v="36"/>
    <x v="1"/>
    <n v="4247"/>
    <x v="44"/>
    <n v="4873"/>
    <n v="153732"/>
    <n v="19128"/>
    <x v="5"/>
  </r>
  <r>
    <s v="2013-14"/>
    <x v="9"/>
    <x v="33"/>
    <x v="1"/>
    <n v="3760"/>
    <x v="45"/>
    <n v="10750"/>
    <n v="268500"/>
    <n v="23329"/>
    <x v="5"/>
  </r>
  <r>
    <s v="2013-14"/>
    <x v="23"/>
    <x v="18"/>
    <x v="1"/>
    <n v="4615"/>
    <x v="15"/>
    <n v="8213"/>
    <n v="172959"/>
    <n v="22508"/>
    <x v="5"/>
  </r>
  <r>
    <s v="2013-14"/>
    <x v="41"/>
    <x v="36"/>
    <x v="1"/>
    <n v="356"/>
    <x v="46"/>
    <n v="746"/>
    <n v="232"/>
    <n v="2218"/>
    <x v="5"/>
  </r>
  <r>
    <s v="2013-14"/>
    <x v="22"/>
    <x v="21"/>
    <x v="0"/>
    <n v="422"/>
    <x v="47"/>
    <n v="55"/>
    <n v="15990"/>
    <n v="697"/>
    <x v="5"/>
  </r>
  <r>
    <s v="2013-14"/>
    <x v="8"/>
    <x v="33"/>
    <x v="1"/>
    <n v="3207"/>
    <x v="48"/>
    <n v="9023"/>
    <n v="227784"/>
    <n v="19152"/>
    <x v="5"/>
  </r>
  <r>
    <s v="2013-14"/>
    <x v="25"/>
    <x v="48"/>
    <x v="0"/>
    <n v="4674"/>
    <x v="49"/>
    <n v="3466"/>
    <n v="222145"/>
    <n v="21384"/>
    <x v="5"/>
  </r>
  <r>
    <s v="2013-14"/>
    <x v="1"/>
    <x v="25"/>
    <x v="1"/>
    <n v="424"/>
    <x v="1"/>
    <n v="957"/>
    <n v="16734"/>
    <n v="2031"/>
    <x v="5"/>
  </r>
  <r>
    <s v="2013-14"/>
    <x v="2"/>
    <x v="18"/>
    <x v="1"/>
    <n v="34"/>
    <x v="13"/>
    <n v="0"/>
    <n v="174"/>
    <n v="418"/>
    <x v="5"/>
  </r>
  <r>
    <s v="2013-14"/>
    <x v="19"/>
    <x v="60"/>
    <x v="1"/>
    <n v="4314"/>
    <x v="50"/>
    <n v="13068"/>
    <n v="98432"/>
    <n v="36494"/>
    <x v="5"/>
  </r>
  <r>
    <s v="2013-14"/>
    <x v="42"/>
    <x v="5"/>
    <x v="1"/>
    <n v="10288"/>
    <x v="51"/>
    <n v="32175"/>
    <n v="435830"/>
    <n v="58039"/>
    <x v="5"/>
  </r>
  <r>
    <s v="2013-14"/>
    <x v="28"/>
    <x v="61"/>
    <x v="1"/>
    <n v="47"/>
    <x v="52"/>
    <n v="7"/>
    <n v="353"/>
    <n v="467"/>
    <x v="5"/>
  </r>
  <r>
    <s v="2013-14"/>
    <x v="20"/>
    <x v="31"/>
    <x v="1"/>
    <n v="1036"/>
    <x v="53"/>
    <n v="2023"/>
    <n v="15352"/>
    <n v="5293"/>
    <x v="5"/>
  </r>
  <r>
    <s v="2013-14"/>
    <x v="3"/>
    <x v="33"/>
    <x v="1"/>
    <n v="3676"/>
    <x v="54"/>
    <n v="18068"/>
    <n v="192169"/>
    <n v="23982"/>
    <x v="5"/>
  </r>
  <r>
    <s v="2013-14"/>
    <x v="33"/>
    <x v="6"/>
    <x v="0"/>
    <n v="1225"/>
    <x v="47"/>
    <n v="351"/>
    <n v="1377"/>
    <n v="7804"/>
    <x v="5"/>
  </r>
  <r>
    <s v="2013-14"/>
    <x v="35"/>
    <x v="13"/>
    <x v="1"/>
    <n v="1212"/>
    <x v="20"/>
    <n v="725"/>
    <n v="1263"/>
    <n v="2500"/>
    <x v="5"/>
  </r>
  <r>
    <s v="2013-14"/>
    <x v="36"/>
    <x v="52"/>
    <x v="1"/>
    <n v="97"/>
    <x v="2"/>
    <n v="13"/>
    <n v="375"/>
    <n v="774"/>
    <x v="5"/>
  </r>
  <r>
    <s v="2013-14"/>
    <x v="0"/>
    <x v="62"/>
    <x v="1"/>
    <n v="213"/>
    <x v="55"/>
    <n v="15"/>
    <n v="1232"/>
    <n v="1050"/>
    <x v="5"/>
  </r>
  <r>
    <s v="2013-14"/>
    <x v="38"/>
    <x v="13"/>
    <x v="1"/>
    <n v="439"/>
    <x v="20"/>
    <n v="227"/>
    <n v="329"/>
    <n v="4720"/>
    <x v="5"/>
  </r>
  <r>
    <s v="2013-14"/>
    <x v="30"/>
    <x v="6"/>
    <x v="0"/>
    <n v="547"/>
    <x v="56"/>
    <n v="317"/>
    <n v="8663"/>
    <n v="2013"/>
    <x v="5"/>
  </r>
  <r>
    <s v="2014-15"/>
    <x v="30"/>
    <x v="63"/>
    <x v="0"/>
    <n v="540"/>
    <x v="57"/>
    <n v="344"/>
    <n v="9468"/>
    <n v="2054"/>
    <x v="6"/>
  </r>
  <r>
    <s v="2014-15"/>
    <x v="29"/>
    <x v="64"/>
    <x v="1"/>
    <n v="12079"/>
    <x v="58"/>
    <n v="23192"/>
    <n v="548032.27"/>
    <n v="61806"/>
    <x v="6"/>
  </r>
  <r>
    <s v="2014-15"/>
    <x v="43"/>
    <x v="65"/>
    <x v="0"/>
    <n v="815"/>
    <x v="59"/>
    <n v="149"/>
    <n v="7065"/>
    <n v="3148"/>
    <x v="6"/>
  </r>
  <r>
    <s v="2014-15"/>
    <x v="17"/>
    <x v="66"/>
    <x v="1"/>
    <n v="6649"/>
    <x v="29"/>
    <n v="19367"/>
    <n v="217254"/>
    <n v="36474"/>
    <x v="6"/>
  </r>
  <r>
    <s v="2014-15"/>
    <x v="16"/>
    <x v="67"/>
    <x v="2"/>
    <n v="223"/>
    <x v="60"/>
    <n v="25"/>
    <n v="2673"/>
    <n v="749"/>
    <x v="6"/>
  </r>
  <r>
    <s v="2014-15"/>
    <x v="15"/>
    <x v="68"/>
    <x v="0"/>
    <n v="813"/>
    <x v="61"/>
    <n v="869"/>
    <n v="7653"/>
    <n v="4998"/>
    <x v="6"/>
  </r>
  <r>
    <s v="2014-15"/>
    <x v="12"/>
    <x v="52"/>
    <x v="1"/>
    <n v="4977"/>
    <x v="62"/>
    <n v="14187"/>
    <n v="110187"/>
    <n v="32864"/>
    <x v="6"/>
  </r>
  <r>
    <s v="2014-15"/>
    <x v="11"/>
    <x v="69"/>
    <x v="0"/>
    <n v="7765"/>
    <x v="63"/>
    <n v="7735"/>
    <n v="333368"/>
    <n v="39257"/>
    <x v="6"/>
  </r>
  <r>
    <s v="2014-15"/>
    <x v="39"/>
    <x v="70"/>
    <x v="2"/>
    <n v="610"/>
    <x v="64"/>
    <n v="46"/>
    <n v="179"/>
    <n v="1720"/>
    <x v="6"/>
  </r>
  <r>
    <s v="2014-15"/>
    <x v="32"/>
    <x v="71"/>
    <x v="0"/>
    <n v="8321"/>
    <x v="65"/>
    <n v="10349"/>
    <n v="354490"/>
    <n v="37326"/>
    <x v="6"/>
  </r>
  <r>
    <s v="2014-15"/>
    <x v="31"/>
    <x v="72"/>
    <x v="1"/>
    <n v="5691"/>
    <x v="66"/>
    <n v="11059"/>
    <n v="5537"/>
    <n v="40812"/>
    <x v="6"/>
  </r>
  <r>
    <s v="2014-15"/>
    <x v="6"/>
    <x v="73"/>
    <x v="0"/>
    <n v="17957"/>
    <x v="37"/>
    <n v="24557"/>
    <n v="649286"/>
    <n v="107500"/>
    <x v="6"/>
  </r>
  <r>
    <s v="2014-15"/>
    <x v="4"/>
    <x v="74"/>
    <x v="1"/>
    <n v="63"/>
    <x v="67"/>
    <n v="4"/>
    <n v="399"/>
    <n v="286"/>
    <x v="6"/>
  </r>
  <r>
    <s v="2014-15"/>
    <x v="26"/>
    <x v="75"/>
    <x v="1"/>
    <n v="661"/>
    <x v="68"/>
    <n v="764"/>
    <n v="13800"/>
    <n v="2370"/>
    <x v="6"/>
  </r>
  <r>
    <s v="2014-15"/>
    <x v="24"/>
    <x v="64"/>
    <x v="1"/>
    <n v="4320"/>
    <x v="69"/>
    <n v="4891"/>
    <n v="153146"/>
    <n v="18412"/>
    <x v="6"/>
  </r>
  <r>
    <s v="2014-15"/>
    <x v="23"/>
    <x v="76"/>
    <x v="1"/>
    <n v="4738"/>
    <x v="48"/>
    <n v="8304"/>
    <n v="179303"/>
    <n v="23573"/>
    <x v="6"/>
  </r>
  <r>
    <s v="2014-15"/>
    <x v="22"/>
    <x v="77"/>
    <x v="0"/>
    <n v="446"/>
    <x v="70"/>
    <n v="64"/>
    <n v="19949"/>
    <n v="606"/>
    <x v="6"/>
  </r>
  <r>
    <s v="2014-15"/>
    <x v="25"/>
    <x v="78"/>
    <x v="0"/>
    <n v="4704"/>
    <x v="71"/>
    <n v="3582"/>
    <n v="223386"/>
    <n v="20551"/>
    <x v="6"/>
  </r>
  <r>
    <s v="2014-15"/>
    <x v="1"/>
    <x v="33"/>
    <x v="1"/>
    <n v="590"/>
    <x v="72"/>
    <n v="49"/>
    <n v="11783"/>
    <n v="2148"/>
    <x v="6"/>
  </r>
  <r>
    <s v="2014-15"/>
    <x v="42"/>
    <x v="79"/>
    <x v="1"/>
    <n v="10329"/>
    <x v="73"/>
    <n v="33391"/>
    <n v="436291"/>
    <n v="56740"/>
    <x v="6"/>
  </r>
  <r>
    <s v="2014-15"/>
    <x v="28"/>
    <x v="13"/>
    <x v="1"/>
    <n v="48"/>
    <x v="15"/>
    <n v="2"/>
    <n v="1"/>
    <n v="396"/>
    <x v="6"/>
  </r>
  <r>
    <s v="2014-15"/>
    <x v="44"/>
    <x v="80"/>
    <x v="0"/>
    <n v="9415"/>
    <x v="74"/>
    <n v="5440"/>
    <n v="283054"/>
    <n v="24913"/>
    <x v="6"/>
  </r>
  <r>
    <s v="2014-15"/>
    <x v="3"/>
    <x v="81"/>
    <x v="1"/>
    <n v="3787"/>
    <x v="57"/>
    <n v="18120"/>
    <n v="189963"/>
    <n v="25219"/>
    <x v="6"/>
  </r>
  <r>
    <s v="2014-15"/>
    <x v="35"/>
    <x v="13"/>
    <x v="1"/>
    <n v="1242"/>
    <x v="75"/>
    <n v="919"/>
    <n v="1327"/>
    <n v="2837"/>
    <x v="6"/>
  </r>
  <r>
    <s v="2014-15"/>
    <x v="5"/>
    <x v="82"/>
    <x v="0"/>
    <n v="1104"/>
    <x v="76"/>
    <n v="271"/>
    <n v="77552"/>
    <n v="6997"/>
    <x v="6"/>
  </r>
  <r>
    <s v="2014-15"/>
    <x v="8"/>
    <x v="83"/>
    <x v="1"/>
    <n v="3184"/>
    <x v="77"/>
    <n v="9015"/>
    <n v="228832"/>
    <n v="18964"/>
    <x v="6"/>
  </r>
  <r>
    <s v="2014-15"/>
    <x v="9"/>
    <x v="84"/>
    <x v="1"/>
    <n v="3783"/>
    <x v="78"/>
    <n v="14272"/>
    <n v="333661"/>
    <n v="23198"/>
    <x v="6"/>
  </r>
  <r>
    <s v="2014-15"/>
    <x v="14"/>
    <x v="85"/>
    <x v="1"/>
    <n v="2516"/>
    <x v="12"/>
    <n v="6564"/>
    <n v="187391"/>
    <n v="14850"/>
    <x v="6"/>
  </r>
  <r>
    <s v="2014-15"/>
    <x v="18"/>
    <x v="86"/>
    <x v="1"/>
    <n v="2230"/>
    <x v="79"/>
    <n v="5582"/>
    <n v="153058"/>
    <n v="7444"/>
    <x v="6"/>
  </r>
  <r>
    <s v="2014-15"/>
    <x v="27"/>
    <x v="87"/>
    <x v="1"/>
    <n v="3528"/>
    <x v="45"/>
    <n v="8450"/>
    <n v="293360"/>
    <n v="22573"/>
    <x v="6"/>
  </r>
  <r>
    <s v="2014-15"/>
    <x v="34"/>
    <x v="88"/>
    <x v="1"/>
    <n v="266"/>
    <x v="80"/>
    <n v="101"/>
    <n v="105"/>
    <n v="858"/>
    <x v="6"/>
  </r>
  <r>
    <s v="2014-15"/>
    <x v="13"/>
    <x v="89"/>
    <x v="1"/>
    <n v="432"/>
    <x v="14"/>
    <n v="478"/>
    <n v="15441"/>
    <n v="2102"/>
    <x v="6"/>
  </r>
  <r>
    <s v="2014-15"/>
    <x v="10"/>
    <x v="90"/>
    <x v="0"/>
    <n v="4083"/>
    <x v="81"/>
    <n v="4683"/>
    <n v="169225"/>
    <n v="18259"/>
    <x v="6"/>
  </r>
  <r>
    <s v="2014-15"/>
    <x v="2"/>
    <x v="11"/>
    <x v="1"/>
    <n v="33"/>
    <x v="26"/>
    <n v="0"/>
    <n v="229"/>
    <n v="418"/>
    <x v="6"/>
  </r>
  <r>
    <s v="2014-15"/>
    <x v="0"/>
    <x v="5"/>
    <x v="1"/>
    <n v="193"/>
    <x v="10"/>
    <n v="16"/>
    <n v="1388"/>
    <n v="1050"/>
    <x v="6"/>
  </r>
  <r>
    <s v="2014-15"/>
    <x v="38"/>
    <x v="13"/>
    <x v="1"/>
    <n v="376"/>
    <x v="82"/>
    <n v="104"/>
    <n v="296"/>
    <n v="4252"/>
    <x v="6"/>
  </r>
  <r>
    <s v="2014-15"/>
    <x v="36"/>
    <x v="91"/>
    <x v="1"/>
    <n v="85"/>
    <x v="2"/>
    <n v="13"/>
    <n v="460"/>
    <n v="774"/>
    <x v="6"/>
  </r>
  <r>
    <s v="2014-15"/>
    <x v="20"/>
    <x v="92"/>
    <x v="0"/>
    <n v="946"/>
    <x v="43"/>
    <n v="2024"/>
    <n v="15852"/>
    <n v="5503"/>
    <x v="6"/>
  </r>
  <r>
    <s v="2014-15"/>
    <x v="19"/>
    <x v="93"/>
    <x v="1"/>
    <n v="4247"/>
    <x v="50"/>
    <n v="12216"/>
    <n v="90716"/>
    <n v="35705"/>
    <x v="6"/>
  </r>
  <r>
    <s v="2014-15"/>
    <x v="41"/>
    <x v="94"/>
    <x v="0"/>
    <n v="360"/>
    <x v="83"/>
    <n v="801"/>
    <n v="246"/>
    <n v="2491"/>
    <x v="6"/>
  </r>
  <r>
    <s v="2014-15"/>
    <x v="21"/>
    <x v="95"/>
    <x v="1"/>
    <n v="2087"/>
    <x v="84"/>
    <n v="4444"/>
    <n v="49400"/>
    <n v="10186"/>
    <x v="6"/>
  </r>
  <r>
    <s v="2014-15"/>
    <x v="45"/>
    <x v="28"/>
    <x v="0"/>
    <n v="338"/>
    <x v="28"/>
    <n v="626"/>
    <n v="4403"/>
    <n v="2250"/>
    <x v="6"/>
  </r>
  <r>
    <s v="2015-16"/>
    <x v="2"/>
    <x v="24"/>
    <x v="1"/>
    <n v="32"/>
    <x v="85"/>
    <n v="0.42"/>
    <n v="154.57"/>
    <n v="383"/>
    <x v="7"/>
  </r>
  <r>
    <s v="2015-16"/>
    <x v="27"/>
    <x v="61"/>
    <x v="1"/>
    <n v="3590"/>
    <x v="45"/>
    <n v="8419.94"/>
    <n v="298709.73"/>
    <n v="22417"/>
    <x v="7"/>
  </r>
  <r>
    <s v="2015-16"/>
    <x v="38"/>
    <x v="13"/>
    <x v="1"/>
    <n v="484"/>
    <x v="86"/>
    <n v="351.36"/>
    <n v="10947.06"/>
    <n v="3834"/>
    <x v="7"/>
  </r>
  <r>
    <s v="2015-16"/>
    <x v="46"/>
    <x v="96"/>
    <x v="1"/>
    <n v="1903"/>
    <x v="74"/>
    <n v="6673.7"/>
    <n v="1408.37"/>
    <n v="11920"/>
    <x v="7"/>
  </r>
  <r>
    <s v="2015-16"/>
    <x v="34"/>
    <x v="97"/>
    <x v="1"/>
    <n v="268"/>
    <x v="87"/>
    <n v="115.09"/>
    <n v="105.8"/>
    <n v="858"/>
    <x v="7"/>
  </r>
  <r>
    <s v="2015-16"/>
    <x v="47"/>
    <x v="13"/>
    <x v="1"/>
    <n v="143"/>
    <x v="88"/>
    <n v="158.49"/>
    <n v="131.99"/>
    <n v="762"/>
    <x v="7"/>
  </r>
  <r>
    <s v="2015-16"/>
    <x v="3"/>
    <x v="98"/>
    <x v="1"/>
    <n v="3832"/>
    <x v="89"/>
    <n v="17814.63"/>
    <n v="190868.11"/>
    <n v="24930"/>
    <x v="7"/>
  </r>
  <r>
    <s v="2015-16"/>
    <x v="33"/>
    <x v="11"/>
    <x v="1"/>
    <n v="1246"/>
    <x v="90"/>
    <n v="369.17"/>
    <n v="1382"/>
    <n v="4111"/>
    <x v="7"/>
  </r>
  <r>
    <s v="2015-16"/>
    <x v="35"/>
    <x v="13"/>
    <x v="1"/>
    <n v="1258"/>
    <x v="90"/>
    <n v="1046.76"/>
    <n v="36603.660000000003"/>
    <n v="3500"/>
    <x v="7"/>
  </r>
  <r>
    <s v="2015-16"/>
    <x v="36"/>
    <x v="2"/>
    <x v="1"/>
    <n v="126"/>
    <x v="2"/>
    <n v="14.06"/>
    <n v="417.43"/>
    <n v="723"/>
    <x v="7"/>
  </r>
  <r>
    <s v="2015-16"/>
    <x v="44"/>
    <x v="99"/>
    <x v="1"/>
    <n v="9577"/>
    <x v="58"/>
    <n v="5560.1"/>
    <n v="418644"/>
    <n v="23028"/>
    <x v="7"/>
  </r>
  <r>
    <s v="2015-16"/>
    <x v="28"/>
    <x v="2"/>
    <x v="1"/>
    <n v="47"/>
    <x v="91"/>
    <n v="2"/>
    <n v="1"/>
    <n v="353"/>
    <x v="7"/>
  </r>
  <r>
    <s v="2015-16"/>
    <x v="5"/>
    <x v="100"/>
    <x v="0"/>
    <n v="1169"/>
    <x v="77"/>
    <n v="2259.62"/>
    <n v="78934.11"/>
    <n v="6677"/>
    <x v="7"/>
  </r>
  <r>
    <s v="2015-16"/>
    <x v="20"/>
    <x v="101"/>
    <x v="1"/>
    <n v="993"/>
    <x v="92"/>
    <n v="2274.9499999999998"/>
    <n v="17902.189999999999"/>
    <n v="5498"/>
    <x v="7"/>
  </r>
  <r>
    <s v="2015-16"/>
    <x v="42"/>
    <x v="102"/>
    <x v="1"/>
    <n v="10391"/>
    <x v="15"/>
    <n v="32935.94"/>
    <n v="435517.99"/>
    <n v="55993"/>
    <x v="7"/>
  </r>
  <r>
    <s v="2015-16"/>
    <x v="1"/>
    <x v="103"/>
    <x v="1"/>
    <n v="662"/>
    <x v="93"/>
    <n v="165.58"/>
    <n v="16585.41"/>
    <n v="2127"/>
    <x v="7"/>
  </r>
  <r>
    <s v="2015-16"/>
    <x v="8"/>
    <x v="25"/>
    <x v="1"/>
    <n v="3249"/>
    <x v="76"/>
    <n v="9322.91"/>
    <n v="236590.85"/>
    <n v="19647"/>
    <x v="7"/>
  </r>
  <r>
    <s v="2015-16"/>
    <x v="19"/>
    <x v="104"/>
    <x v="1"/>
    <n v="4094"/>
    <x v="50"/>
    <n v="10610.84"/>
    <n v="73489.929999999993"/>
    <n v="34334"/>
    <x v="7"/>
  </r>
  <r>
    <s v="2015-16"/>
    <x v="25"/>
    <x v="105"/>
    <x v="1"/>
    <n v="4529"/>
    <x v="5"/>
    <n v="3387.78"/>
    <n v="289216.13"/>
    <n v="19163"/>
    <x v="7"/>
  </r>
  <r>
    <s v="2015-16"/>
    <x v="48"/>
    <x v="2"/>
    <x v="1"/>
    <n v="1025"/>
    <x v="86"/>
    <n v="35.69"/>
    <n v="1178.71"/>
    <n v="3700"/>
    <x v="7"/>
  </r>
  <r>
    <s v="2015-16"/>
    <x v="0"/>
    <x v="106"/>
    <x v="2"/>
    <n v="223"/>
    <x v="94"/>
    <n v="13"/>
    <n v="1360"/>
    <n v="1050"/>
    <x v="7"/>
  </r>
  <r>
    <s v="2015-16"/>
    <x v="49"/>
    <x v="7"/>
    <x v="1"/>
    <n v="129"/>
    <x v="95"/>
    <n v="220.46"/>
    <n v="2977.46"/>
    <n v="974"/>
    <x v="7"/>
  </r>
  <r>
    <s v="2015-16"/>
    <x v="22"/>
    <x v="31"/>
    <x v="1"/>
    <n v="458"/>
    <x v="27"/>
    <n v="69.64"/>
    <n v="12042.04"/>
    <n v="1599"/>
    <x v="7"/>
  </r>
  <r>
    <s v="2015-16"/>
    <x v="23"/>
    <x v="107"/>
    <x v="1"/>
    <n v="4736"/>
    <x v="74"/>
    <n v="8289.9"/>
    <n v="178564"/>
    <n v="23586"/>
    <x v="7"/>
  </r>
  <r>
    <s v="2015-16"/>
    <x v="10"/>
    <x v="108"/>
    <x v="0"/>
    <n v="4170"/>
    <x v="96"/>
    <n v="4554.46"/>
    <n v="172764"/>
    <n v="17646"/>
    <x v="7"/>
  </r>
  <r>
    <s v="2015-16"/>
    <x v="41"/>
    <x v="109"/>
    <x v="0"/>
    <n v="375"/>
    <x v="97"/>
    <n v="844"/>
    <n v="264.07"/>
    <n v="2395"/>
    <x v="7"/>
  </r>
  <r>
    <s v="2015-16"/>
    <x v="24"/>
    <x v="110"/>
    <x v="1"/>
    <n v="4447"/>
    <x v="69"/>
    <n v="4922.7"/>
    <n v="158480.9"/>
    <n v="20341"/>
    <x v="7"/>
  </r>
  <r>
    <s v="2015-16"/>
    <x v="9"/>
    <x v="111"/>
    <x v="1"/>
    <n v="3820"/>
    <x v="98"/>
    <n v="10895.61"/>
    <n v="280317.59999999998"/>
    <n v="23613"/>
    <x v="7"/>
  </r>
  <r>
    <s v="2015-16"/>
    <x v="21"/>
    <x v="112"/>
    <x v="1"/>
    <n v="2075"/>
    <x v="92"/>
    <n v="4115.04"/>
    <n v="49498.25"/>
    <n v="9945"/>
    <x v="7"/>
  </r>
  <r>
    <s v="2015-16"/>
    <x v="4"/>
    <x v="113"/>
    <x v="1"/>
    <n v="59"/>
    <x v="19"/>
    <n v="3.69"/>
    <n v="458.55"/>
    <n v="270"/>
    <x v="7"/>
  </r>
  <r>
    <s v="2015-16"/>
    <x v="6"/>
    <x v="69"/>
    <x v="0"/>
    <n v="18514"/>
    <x v="37"/>
    <n v="24561"/>
    <n v="639210"/>
    <n v="105679"/>
    <x v="7"/>
  </r>
  <r>
    <s v="2015-16"/>
    <x v="30"/>
    <x v="114"/>
    <x v="1"/>
    <n v="569"/>
    <x v="99"/>
    <n v="356.18"/>
    <n v="9798.65"/>
    <n v="2003"/>
    <x v="7"/>
  </r>
  <r>
    <s v="2015-16"/>
    <x v="40"/>
    <x v="8"/>
    <x v="0"/>
    <n v="180"/>
    <x v="100"/>
    <n v="263.45999999999998"/>
    <n v="83.1"/>
    <n v="986"/>
    <x v="7"/>
  </r>
  <r>
    <s v="2015-16"/>
    <x v="31"/>
    <x v="115"/>
    <x v="1"/>
    <n v="5636"/>
    <x v="93"/>
    <n v="10438"/>
    <n v="187593"/>
    <n v="42240"/>
    <x v="7"/>
  </r>
  <r>
    <s v="2015-16"/>
    <x v="32"/>
    <x v="116"/>
    <x v="0"/>
    <n v="8172"/>
    <x v="101"/>
    <n v="10103.629999999999"/>
    <n v="343937.34"/>
    <n v="37129"/>
    <x v="7"/>
  </r>
  <r>
    <s v="2015-16"/>
    <x v="14"/>
    <x v="117"/>
    <x v="1"/>
    <n v="2640"/>
    <x v="102"/>
    <n v="6406.78"/>
    <n v="155207.25"/>
    <n v="15266"/>
    <x v="7"/>
  </r>
  <r>
    <s v="2015-16"/>
    <x v="45"/>
    <x v="14"/>
    <x v="0"/>
    <n v="353"/>
    <x v="103"/>
    <n v="574.91999999999996"/>
    <n v="4781.22"/>
    <n v="2186"/>
    <x v="7"/>
  </r>
  <r>
    <s v="2015-16"/>
    <x v="39"/>
    <x v="91"/>
    <x v="1"/>
    <n v="610"/>
    <x v="56"/>
    <n v="46.44"/>
    <n v="4260.05"/>
    <n v="1989"/>
    <x v="7"/>
  </r>
  <r>
    <s v="2015-16"/>
    <x v="13"/>
    <x v="118"/>
    <x v="1"/>
    <n v="494"/>
    <x v="104"/>
    <n v="539.19000000000005"/>
    <n v="11846"/>
    <n v="1967"/>
    <x v="7"/>
  </r>
  <r>
    <s v="2015-16"/>
    <x v="50"/>
    <x v="119"/>
    <x v="0"/>
    <n v="170"/>
    <x v="105"/>
    <n v="168.3"/>
    <n v="15.08"/>
    <n v="570"/>
    <x v="7"/>
  </r>
  <r>
    <s v="2015-16"/>
    <x v="11"/>
    <x v="120"/>
    <x v="1"/>
    <n v="7852"/>
    <x v="63"/>
    <n v="7613.34"/>
    <n v="326305.62"/>
    <n v="39707"/>
    <x v="7"/>
  </r>
  <r>
    <s v="2015-16"/>
    <x v="12"/>
    <x v="9"/>
    <x v="1"/>
    <n v="4564"/>
    <x v="106"/>
    <n v="12944.24"/>
    <n v="105793.87"/>
    <n v="30527"/>
    <x v="7"/>
  </r>
  <r>
    <s v="2015-16"/>
    <x v="15"/>
    <x v="68"/>
    <x v="0"/>
    <n v="813"/>
    <x v="61"/>
    <n v="869.3"/>
    <n v="7652.94"/>
    <n v="4998"/>
    <x v="7"/>
  </r>
  <r>
    <s v="2015-16"/>
    <x v="16"/>
    <x v="121"/>
    <x v="2"/>
    <n v="223"/>
    <x v="107"/>
    <n v="26.55"/>
    <n v="3146.03"/>
    <n v="625"/>
    <x v="7"/>
  </r>
  <r>
    <s v="2015-16"/>
    <x v="51"/>
    <x v="122"/>
    <x v="1"/>
    <n v="232"/>
    <x v="25"/>
    <n v="30.64"/>
    <n v="74.09"/>
    <n v="575"/>
    <x v="7"/>
  </r>
  <r>
    <s v="2015-16"/>
    <x v="17"/>
    <x v="123"/>
    <x v="1"/>
    <n v="6439"/>
    <x v="108"/>
    <n v="18570.84"/>
    <n v="192031.51"/>
    <n v="35554"/>
    <x v="7"/>
  </r>
  <r>
    <s v="2015-16"/>
    <x v="52"/>
    <x v="11"/>
    <x v="1"/>
    <n v="120"/>
    <x v="109"/>
    <n v="108.06"/>
    <n v="74.42"/>
    <n v="38"/>
    <x v="7"/>
  </r>
  <r>
    <s v="2015-16"/>
    <x v="43"/>
    <x v="39"/>
    <x v="0"/>
    <n v="1090"/>
    <x v="29"/>
    <n v="207.95"/>
    <n v="7437.69"/>
    <n v="3987"/>
    <x v="7"/>
  </r>
  <r>
    <s v="2015-16"/>
    <x v="29"/>
    <x v="124"/>
    <x v="1"/>
    <n v="12012"/>
    <x v="77"/>
    <n v="22977.48"/>
    <n v="516978.85"/>
    <n v="57902"/>
    <x v="7"/>
  </r>
  <r>
    <s v="2015-16"/>
    <x v="18"/>
    <x v="113"/>
    <x v="1"/>
    <n v="2309"/>
    <x v="110"/>
    <n v="5533.12"/>
    <n v="156566.93"/>
    <n v="13760"/>
    <x v="7"/>
  </r>
  <r>
    <s v="2015-16"/>
    <x v="53"/>
    <x v="11"/>
    <x v="1"/>
    <n v="270"/>
    <x v="106"/>
    <n v="41.6"/>
    <n v="42.52"/>
    <n v="277"/>
    <x v="7"/>
  </r>
  <r>
    <s v="2016-17"/>
    <x v="10"/>
    <x v="125"/>
    <x v="0"/>
    <n v="4145"/>
    <x v="81"/>
    <n v="4459"/>
    <n v="158216"/>
    <n v="16968"/>
    <x v="8"/>
  </r>
  <r>
    <s v="2016-17"/>
    <x v="54"/>
    <x v="2"/>
    <x v="1"/>
    <n v="230"/>
    <x v="111"/>
    <n v="90"/>
    <n v="99.91"/>
    <n v="540"/>
    <x v="8"/>
  </r>
  <r>
    <s v="2016-17"/>
    <x v="55"/>
    <x v="126"/>
    <x v="1"/>
    <n v="408"/>
    <x v="112"/>
    <n v="2"/>
    <n v="193.9"/>
    <n v="1119"/>
    <x v="8"/>
  </r>
  <r>
    <s v="2016-17"/>
    <x v="52"/>
    <x v="13"/>
    <x v="1"/>
    <n v="126"/>
    <x v="20"/>
    <n v="103"/>
    <n v="75"/>
    <n v="453"/>
    <x v="8"/>
  </r>
  <r>
    <s v="2016-17"/>
    <x v="29"/>
    <x v="127"/>
    <x v="1"/>
    <n v="12072"/>
    <x v="8"/>
    <n v="24017"/>
    <n v="530698.23999999999"/>
    <n v="56592"/>
    <x v="8"/>
  </r>
  <r>
    <s v="2016-17"/>
    <x v="43"/>
    <x v="13"/>
    <x v="1"/>
    <n v="1067"/>
    <x v="104"/>
    <n v="174"/>
    <n v="6564.13"/>
    <n v="3579"/>
    <x v="8"/>
  </r>
  <r>
    <s v="2016-17"/>
    <x v="17"/>
    <x v="128"/>
    <x v="1"/>
    <n v="6270"/>
    <x v="113"/>
    <n v="17611"/>
    <n v="195775.79"/>
    <n v="34306"/>
    <x v="8"/>
  </r>
  <r>
    <s v="2016-17"/>
    <x v="16"/>
    <x v="129"/>
    <x v="2"/>
    <n v="483"/>
    <x v="47"/>
    <n v="111"/>
    <n v="6463.32"/>
    <n v="1244"/>
    <x v="8"/>
  </r>
  <r>
    <s v="2016-17"/>
    <x v="11"/>
    <x v="130"/>
    <x v="0"/>
    <n v="7863"/>
    <x v="114"/>
    <n v="7887"/>
    <n v="350277.81"/>
    <n v="37688"/>
    <x v="8"/>
  </r>
  <r>
    <s v="2016-17"/>
    <x v="56"/>
    <x v="63"/>
    <x v="0"/>
    <n v="3146"/>
    <x v="0"/>
    <n v="0"/>
    <n v="64551.08"/>
    <n v="9236"/>
    <x v="8"/>
  </r>
  <r>
    <s v="2016-17"/>
    <x v="39"/>
    <x v="91"/>
    <x v="1"/>
    <n v="529"/>
    <x v="54"/>
    <n v="42"/>
    <n v="4068.34"/>
    <n v="2335"/>
    <x v="8"/>
  </r>
  <r>
    <s v="2016-17"/>
    <x v="7"/>
    <x v="131"/>
    <x v="1"/>
    <n v="8212"/>
    <x v="115"/>
    <n v="9959"/>
    <n v="338547.87"/>
    <n v="37675"/>
    <x v="8"/>
  </r>
  <r>
    <s v="2016-17"/>
    <x v="31"/>
    <x v="61"/>
    <x v="1"/>
    <n v="5869"/>
    <x v="116"/>
    <n v="10414"/>
    <n v="294270"/>
    <n v="43086"/>
    <x v="8"/>
  </r>
  <r>
    <s v="2016-17"/>
    <x v="6"/>
    <x v="7"/>
    <x v="1"/>
    <n v="18710"/>
    <x v="39"/>
    <n v="24438"/>
    <n v="615701"/>
    <n v="103043"/>
    <x v="8"/>
  </r>
  <r>
    <s v="2016-17"/>
    <x v="4"/>
    <x v="132"/>
    <x v="1"/>
    <n v="52"/>
    <x v="12"/>
    <n v="4"/>
    <n v="457.27"/>
    <n v="260"/>
    <x v="8"/>
  </r>
  <r>
    <s v="2016-17"/>
    <x v="26"/>
    <x v="107"/>
    <x v="1"/>
    <n v="805"/>
    <x v="117"/>
    <n v="0"/>
    <n v="18655.12"/>
    <n v="3709"/>
    <x v="8"/>
  </r>
  <r>
    <s v="2016-17"/>
    <x v="24"/>
    <x v="133"/>
    <x v="1"/>
    <n v="4385"/>
    <x v="48"/>
    <n v="4928"/>
    <n v="158522.46"/>
    <n v="20577"/>
    <x v="8"/>
  </r>
  <r>
    <s v="2016-17"/>
    <x v="23"/>
    <x v="12"/>
    <x v="1"/>
    <n v="4802"/>
    <x v="74"/>
    <n v="8256"/>
    <n v="174741"/>
    <n v="24321"/>
    <x v="8"/>
  </r>
  <r>
    <s v="2016-17"/>
    <x v="22"/>
    <x v="17"/>
    <x v="1"/>
    <n v="455"/>
    <x v="118"/>
    <n v="71"/>
    <n v="17663.88"/>
    <n v="1651"/>
    <x v="8"/>
  </r>
  <r>
    <s v="2016-17"/>
    <x v="48"/>
    <x v="2"/>
    <x v="1"/>
    <n v="1067"/>
    <x v="119"/>
    <n v="0"/>
    <n v="1300"/>
    <n v="3658"/>
    <x v="8"/>
  </r>
  <r>
    <s v="2016-17"/>
    <x v="25"/>
    <x v="134"/>
    <x v="1"/>
    <n v="4635"/>
    <x v="120"/>
    <n v="3185"/>
    <n v="284702.25"/>
    <n v="17844"/>
    <x v="8"/>
  </r>
  <r>
    <s v="2016-17"/>
    <x v="1"/>
    <x v="135"/>
    <x v="1"/>
    <n v="721"/>
    <x v="60"/>
    <n v="148"/>
    <n v="18234.53"/>
    <n v="2042"/>
    <x v="8"/>
  </r>
  <r>
    <s v="2016-17"/>
    <x v="44"/>
    <x v="136"/>
    <x v="0"/>
    <n v="10780"/>
    <x v="121"/>
    <n v="5646"/>
    <n v="445728"/>
    <n v="23487"/>
    <x v="8"/>
  </r>
  <r>
    <s v="2016-17"/>
    <x v="33"/>
    <x v="32"/>
    <x v="1"/>
    <n v="1242"/>
    <x v="37"/>
    <n v="368"/>
    <n v="1396.65"/>
    <n v="4506"/>
    <x v="8"/>
  </r>
  <r>
    <s v="2016-17"/>
    <x v="51"/>
    <x v="84"/>
    <x v="1"/>
    <n v="831"/>
    <x v="122"/>
    <n v="986"/>
    <n v="8272"/>
    <n v="4647"/>
    <x v="8"/>
  </r>
  <r>
    <s v="2016-17"/>
    <x v="30"/>
    <x v="137"/>
    <x v="1"/>
    <n v="530"/>
    <x v="123"/>
    <n v="342"/>
    <n v="9386.34"/>
    <n v="2023"/>
    <x v="8"/>
  </r>
  <r>
    <s v="2016-17"/>
    <x v="3"/>
    <x v="138"/>
    <x v="1"/>
    <n v="4002"/>
    <x v="20"/>
    <n v="17184"/>
    <n v="189176"/>
    <n v="24326"/>
    <x v="8"/>
  </r>
  <r>
    <s v="2016-17"/>
    <x v="35"/>
    <x v="13"/>
    <x v="1"/>
    <n v="1218"/>
    <x v="75"/>
    <n v="1500"/>
    <n v="1361.45"/>
    <n v="4108"/>
    <x v="8"/>
  </r>
  <r>
    <s v="2016-17"/>
    <x v="5"/>
    <x v="105"/>
    <x v="1"/>
    <n v="1184"/>
    <x v="121"/>
    <n v="273"/>
    <n v="81315.460000000006"/>
    <n v="6349"/>
    <x v="8"/>
  </r>
  <r>
    <s v="2016-17"/>
    <x v="8"/>
    <x v="139"/>
    <x v="1"/>
    <n v="3245"/>
    <x v="74"/>
    <n v="9021"/>
    <n v="180075.85"/>
    <n v="18948"/>
    <x v="8"/>
  </r>
  <r>
    <s v="2016-17"/>
    <x v="9"/>
    <x v="140"/>
    <x v="1"/>
    <n v="3718"/>
    <x v="124"/>
    <n v="10488"/>
    <n v="276075.90999999997"/>
    <n v="23527"/>
    <x v="8"/>
  </r>
  <r>
    <s v="2016-17"/>
    <x v="14"/>
    <x v="141"/>
    <x v="1"/>
    <n v="2593"/>
    <x v="125"/>
    <n v="6104"/>
    <n v="189145.61"/>
    <n v="15089"/>
    <x v="8"/>
  </r>
  <r>
    <s v="2016-17"/>
    <x v="18"/>
    <x v="1"/>
    <x v="1"/>
    <n v="2222"/>
    <x v="126"/>
    <n v="5562"/>
    <n v="177304.27"/>
    <n v="13516"/>
    <x v="8"/>
  </r>
  <r>
    <s v="2016-17"/>
    <x v="27"/>
    <x v="13"/>
    <x v="1"/>
    <n v="3596"/>
    <x v="127"/>
    <n v="7819"/>
    <n v="299523"/>
    <n v="24094"/>
    <x v="8"/>
  </r>
  <r>
    <s v="2016-17"/>
    <x v="46"/>
    <x v="89"/>
    <x v="1"/>
    <n v="1897"/>
    <x v="69"/>
    <n v="6673"/>
    <n v="140364.42000000001"/>
    <n v="11839"/>
    <x v="8"/>
  </r>
  <r>
    <s v="2016-17"/>
    <x v="34"/>
    <x v="142"/>
    <x v="1"/>
    <n v="268"/>
    <x v="59"/>
    <n v="108"/>
    <n v="174.22"/>
    <n v="1151"/>
    <x v="8"/>
  </r>
  <r>
    <s v="2016-17"/>
    <x v="13"/>
    <x v="143"/>
    <x v="1"/>
    <n v="565"/>
    <x v="108"/>
    <n v="569"/>
    <n v="14104.96"/>
    <n v="1779"/>
    <x v="8"/>
  </r>
  <r>
    <s v="2016-17"/>
    <x v="0"/>
    <x v="144"/>
    <x v="1"/>
    <n v="216"/>
    <x v="2"/>
    <n v="6"/>
    <n v="32.450000000000003"/>
    <n v="1050"/>
    <x v="8"/>
  </r>
  <r>
    <s v="2016-17"/>
    <x v="36"/>
    <x v="145"/>
    <x v="1"/>
    <n v="122"/>
    <x v="72"/>
    <n v="11"/>
    <n v="549.78"/>
    <n v="680"/>
    <x v="8"/>
  </r>
  <r>
    <s v="2016-17"/>
    <x v="20"/>
    <x v="36"/>
    <x v="1"/>
    <n v="910"/>
    <x v="84"/>
    <n v="2094"/>
    <n v="16282.48"/>
    <n v="5365"/>
    <x v="8"/>
  </r>
  <r>
    <s v="2016-17"/>
    <x v="19"/>
    <x v="146"/>
    <x v="1"/>
    <n v="3844"/>
    <x v="128"/>
    <n v="10343"/>
    <n v="70275"/>
    <n v="32590"/>
    <x v="8"/>
  </r>
  <r>
    <s v="2016-17"/>
    <x v="49"/>
    <x v="60"/>
    <x v="1"/>
    <n v="129"/>
    <x v="129"/>
    <n v="222"/>
    <n v="2953.78"/>
    <n v="944"/>
    <x v="8"/>
  </r>
  <r>
    <s v="2016-17"/>
    <x v="21"/>
    <x v="147"/>
    <x v="1"/>
    <n v="2045"/>
    <x v="130"/>
    <n v="3939"/>
    <n v="41496.51"/>
    <n v="9656"/>
    <x v="8"/>
  </r>
  <r>
    <s v="2016-17"/>
    <x v="45"/>
    <x v="13"/>
    <x v="1"/>
    <n v="393"/>
    <x v="131"/>
    <n v="470"/>
    <n v="0"/>
    <n v="2995"/>
    <x v="8"/>
  </r>
  <r>
    <s v="2016-17"/>
    <x v="50"/>
    <x v="148"/>
    <x v="0"/>
    <n v="169"/>
    <x v="132"/>
    <n v="147"/>
    <n v="1864.16"/>
    <n v="560"/>
    <x v="8"/>
  </r>
  <r>
    <s v="2017-18"/>
    <x v="10"/>
    <x v="149"/>
    <x v="0"/>
    <n v="4063"/>
    <x v="96"/>
    <n v="3993.74"/>
    <n v="145915"/>
    <n v="16004"/>
    <x v="9"/>
  </r>
  <r>
    <s v="2017-18"/>
    <x v="29"/>
    <x v="150"/>
    <x v="1"/>
    <n v="11687"/>
    <x v="58"/>
    <n v="24236"/>
    <n v="544387.26"/>
    <n v="54349"/>
    <x v="9"/>
  </r>
  <r>
    <s v="2017-18"/>
    <x v="2"/>
    <x v="13"/>
    <x v="1"/>
    <n v="42"/>
    <x v="26"/>
    <n v="0.52"/>
    <n v="115.36"/>
    <n v="287"/>
    <x v="9"/>
  </r>
  <r>
    <s v="2017-18"/>
    <x v="8"/>
    <x v="132"/>
    <x v="1"/>
    <n v="3116"/>
    <x v="73"/>
    <n v="8844.35"/>
    <n v="225081.87"/>
    <n v="18597"/>
    <x v="9"/>
  </r>
  <r>
    <s v="2017-18"/>
    <x v="51"/>
    <x v="151"/>
    <x v="0"/>
    <n v="1153"/>
    <x v="133"/>
    <n v="947"/>
    <n v="8249"/>
    <n v="4361"/>
    <x v="9"/>
  </r>
  <r>
    <s v="2017-18"/>
    <x v="0"/>
    <x v="144"/>
    <x v="1"/>
    <n v="249"/>
    <x v="134"/>
    <n v="4.7"/>
    <n v="24.67"/>
    <n v="1050"/>
    <x v="9"/>
  </r>
  <r>
    <s v="2017-18"/>
    <x v="55"/>
    <x v="74"/>
    <x v="1"/>
    <n v="508"/>
    <x v="135"/>
    <n v="1.49"/>
    <n v="161.77000000000001"/>
    <n v="1119"/>
    <x v="9"/>
  </r>
  <r>
    <s v="2017-18"/>
    <x v="9"/>
    <x v="152"/>
    <x v="1"/>
    <n v="3616"/>
    <x v="136"/>
    <n v="10179.26"/>
    <n v="269524.36"/>
    <n v="23099"/>
    <x v="9"/>
  </r>
  <r>
    <s v="2017-18"/>
    <x v="16"/>
    <x v="153"/>
    <x v="2"/>
    <n v="579"/>
    <x v="47"/>
    <n v="162"/>
    <n v="9875.77"/>
    <n v="1170"/>
    <x v="9"/>
  </r>
  <r>
    <s v="2017-18"/>
    <x v="44"/>
    <x v="135"/>
    <x v="1"/>
    <n v="12143"/>
    <x v="91"/>
    <n v="6257.93"/>
    <n v="483664"/>
    <n v="22633"/>
    <x v="9"/>
  </r>
  <r>
    <s v="2017-18"/>
    <x v="38"/>
    <x v="13"/>
    <x v="1"/>
    <n v="602"/>
    <x v="86"/>
    <n v="602.25"/>
    <n v="350.4"/>
    <n v="2940"/>
    <x v="9"/>
  </r>
  <r>
    <s v="2017-18"/>
    <x v="57"/>
    <x v="0"/>
    <x v="0"/>
    <n v="1648"/>
    <x v="106"/>
    <n v="4250.79"/>
    <n v="59179.47"/>
    <n v="0"/>
    <x v="9"/>
  </r>
  <r>
    <s v="2017-18"/>
    <x v="14"/>
    <x v="132"/>
    <x v="1"/>
    <n v="2477"/>
    <x v="137"/>
    <n v="6121.07"/>
    <n v="183162.62"/>
    <n v="14880"/>
    <x v="9"/>
  </r>
  <r>
    <s v="2017-18"/>
    <x v="11"/>
    <x v="154"/>
    <x v="1"/>
    <n v="7345"/>
    <x v="138"/>
    <n v="7187.99"/>
    <n v="358257.06"/>
    <n v="39835"/>
    <x v="9"/>
  </r>
  <r>
    <s v="2017-18"/>
    <x v="30"/>
    <x v="155"/>
    <x v="1"/>
    <n v="520"/>
    <x v="1"/>
    <n v="354.01"/>
    <n v="10620.32"/>
    <n v="2077"/>
    <x v="9"/>
  </r>
  <r>
    <s v="2017-18"/>
    <x v="50"/>
    <x v="156"/>
    <x v="0"/>
    <n v="216"/>
    <x v="139"/>
    <n v="145.63999999999999"/>
    <n v="1703.11"/>
    <n v="498"/>
    <x v="9"/>
  </r>
  <r>
    <s v="2017-18"/>
    <x v="56"/>
    <x v="157"/>
    <x v="0"/>
    <n v="3172"/>
    <x v="104"/>
    <n v="0"/>
    <n v="68523.850000000006"/>
    <n v="9781"/>
    <x v="9"/>
  </r>
  <r>
    <s v="2017-18"/>
    <x v="36"/>
    <x v="158"/>
    <x v="1"/>
    <n v="122"/>
    <x v="87"/>
    <n v="11.31"/>
    <n v="583"/>
    <n v="798"/>
    <x v="9"/>
  </r>
  <r>
    <s v="2017-18"/>
    <x v="39"/>
    <x v="91"/>
    <x v="1"/>
    <n v="525"/>
    <x v="35"/>
    <n v="43.94"/>
    <n v="4232.3999999999996"/>
    <n v="2244"/>
    <x v="9"/>
  </r>
  <r>
    <s v="2017-18"/>
    <x v="18"/>
    <x v="159"/>
    <x v="1"/>
    <n v="2222"/>
    <x v="111"/>
    <n v="5559.65"/>
    <n v="173191.32"/>
    <n v="13348"/>
    <x v="9"/>
  </r>
  <r>
    <s v="2017-18"/>
    <x v="7"/>
    <x v="160"/>
    <x v="0"/>
    <n v="8563"/>
    <x v="115"/>
    <n v="10833.98"/>
    <n v="416388.9"/>
    <n v="38449"/>
    <x v="9"/>
  </r>
  <r>
    <s v="2017-18"/>
    <x v="21"/>
    <x v="161"/>
    <x v="1"/>
    <n v="1961"/>
    <x v="140"/>
    <n v="3975.61"/>
    <n v="45186.54"/>
    <n v="9311"/>
    <x v="9"/>
  </r>
  <r>
    <s v="2017-18"/>
    <x v="27"/>
    <x v="162"/>
    <x v="1"/>
    <n v="3502"/>
    <x v="127"/>
    <n v="8858.07"/>
    <n v="290099"/>
    <n v="23361"/>
    <x v="9"/>
  </r>
  <r>
    <s v="2017-18"/>
    <x v="31"/>
    <x v="79"/>
    <x v="1"/>
    <n v="5738"/>
    <x v="141"/>
    <n v="10593"/>
    <n v="301791"/>
    <n v="40060"/>
    <x v="9"/>
  </r>
  <r>
    <s v="2017-18"/>
    <x v="3"/>
    <x v="163"/>
    <x v="1"/>
    <n v="3848"/>
    <x v="20"/>
    <n v="15186"/>
    <n v="165039"/>
    <n v="23688"/>
    <x v="9"/>
  </r>
  <r>
    <s v="2017-18"/>
    <x v="58"/>
    <x v="7"/>
    <x v="1"/>
    <n v="254"/>
    <x v="62"/>
    <n v="459.16"/>
    <n v="158.24"/>
    <n v="0"/>
    <x v="9"/>
  </r>
  <r>
    <s v="2017-18"/>
    <x v="6"/>
    <x v="31"/>
    <x v="1"/>
    <n v="18652"/>
    <x v="118"/>
    <n v="24446.25"/>
    <n v="624445"/>
    <n v="101196"/>
    <x v="9"/>
  </r>
  <r>
    <s v="2017-18"/>
    <x v="46"/>
    <x v="164"/>
    <x v="1"/>
    <n v="1839"/>
    <x v="76"/>
    <n v="6352.4"/>
    <n v="138569.95000000001"/>
    <n v="11620"/>
    <x v="9"/>
  </r>
  <r>
    <s v="2017-18"/>
    <x v="4"/>
    <x v="13"/>
    <x v="1"/>
    <n v="61"/>
    <x v="73"/>
    <n v="2.17"/>
    <n v="409.09"/>
    <n v="251"/>
    <x v="9"/>
  </r>
  <r>
    <s v="2017-18"/>
    <x v="33"/>
    <x v="32"/>
    <x v="1"/>
    <n v="1297"/>
    <x v="142"/>
    <n v="405.54"/>
    <n v="1552.42"/>
    <n v="4339"/>
    <x v="9"/>
  </r>
  <r>
    <s v="2017-18"/>
    <x v="52"/>
    <x v="2"/>
    <x v="1"/>
    <n v="126"/>
    <x v="11"/>
    <n v="102"/>
    <n v="73"/>
    <n v="454"/>
    <x v="9"/>
  </r>
  <r>
    <s v="2017-18"/>
    <x v="26"/>
    <x v="165"/>
    <x v="1"/>
    <n v="868"/>
    <x v="123"/>
    <n v="0"/>
    <n v="19930.759999999998"/>
    <n v="3226"/>
    <x v="9"/>
  </r>
  <r>
    <s v="2017-18"/>
    <x v="43"/>
    <x v="125"/>
    <x v="0"/>
    <n v="1327"/>
    <x v="0"/>
    <n v="178.41"/>
    <n v="7569.06"/>
    <n v="3254"/>
    <x v="9"/>
  </r>
  <r>
    <s v="2017-18"/>
    <x v="24"/>
    <x v="166"/>
    <x v="0"/>
    <n v="4501"/>
    <x v="8"/>
    <n v="4934.8"/>
    <n v="169419.03"/>
    <n v="20218"/>
    <x v="9"/>
  </r>
  <r>
    <s v="2017-18"/>
    <x v="34"/>
    <x v="167"/>
    <x v="1"/>
    <n v="284"/>
    <x v="143"/>
    <n v="111.62"/>
    <n v="192.63"/>
    <n v="1162"/>
    <x v="9"/>
  </r>
  <r>
    <s v="2017-18"/>
    <x v="35"/>
    <x v="13"/>
    <x v="1"/>
    <n v="1258"/>
    <x v="144"/>
    <n v="1551.25"/>
    <n v="1481.9"/>
    <n v="4098"/>
    <x v="9"/>
  </r>
  <r>
    <s v="2017-18"/>
    <x v="23"/>
    <x v="98"/>
    <x v="1"/>
    <n v="4999"/>
    <x v="76"/>
    <n v="8212.5"/>
    <n v="184318"/>
    <n v="23707"/>
    <x v="9"/>
  </r>
  <r>
    <s v="2017-18"/>
    <x v="22"/>
    <x v="168"/>
    <x v="0"/>
    <n v="443"/>
    <x v="96"/>
    <n v="70.89"/>
    <n v="12154.49"/>
    <n v="1582"/>
    <x v="9"/>
  </r>
  <r>
    <s v="2017-18"/>
    <x v="54"/>
    <x v="17"/>
    <x v="1"/>
    <n v="230"/>
    <x v="145"/>
    <n v="93.95"/>
    <n v="103.72"/>
    <n v="567"/>
    <x v="9"/>
  </r>
  <r>
    <s v="2017-18"/>
    <x v="19"/>
    <x v="169"/>
    <x v="1"/>
    <n v="3661"/>
    <x v="128"/>
    <n v="9563"/>
    <n v="63816"/>
    <n v="30971"/>
    <x v="9"/>
  </r>
  <r>
    <s v="2017-18"/>
    <x v="48"/>
    <x v="2"/>
    <x v="1"/>
    <n v="1142"/>
    <x v="146"/>
    <n v="0.28000000000000003"/>
    <n v="1300"/>
    <n v="4149"/>
    <x v="9"/>
  </r>
  <r>
    <s v="2017-18"/>
    <x v="5"/>
    <x v="170"/>
    <x v="1"/>
    <n v="1167"/>
    <x v="58"/>
    <n v="265.22000000000003"/>
    <n v="76844.09"/>
    <n v="5910"/>
    <x v="9"/>
  </r>
  <r>
    <s v="2017-18"/>
    <x v="13"/>
    <x v="171"/>
    <x v="1"/>
    <n v="550"/>
    <x v="113"/>
    <n v="568.1"/>
    <n v="13414.4"/>
    <n v="1917"/>
    <x v="9"/>
  </r>
  <r>
    <s v="2017-18"/>
    <x v="25"/>
    <x v="135"/>
    <x v="1"/>
    <n v="5444"/>
    <x v="15"/>
    <n v="3420.77"/>
    <n v="303055.69"/>
    <n v="16565"/>
    <x v="9"/>
  </r>
  <r>
    <s v="2017-18"/>
    <x v="49"/>
    <x v="172"/>
    <x v="1"/>
    <n v="129"/>
    <x v="21"/>
    <n v="231.8"/>
    <n v="3120.47"/>
    <n v="881"/>
    <x v="9"/>
  </r>
  <r>
    <s v="2017-18"/>
    <x v="17"/>
    <x v="111"/>
    <x v="1"/>
    <n v="6394"/>
    <x v="113"/>
    <n v="16425"/>
    <n v="171896.55"/>
    <n v="34114"/>
    <x v="9"/>
  </r>
  <r>
    <s v="2017-18"/>
    <x v="1"/>
    <x v="87"/>
    <x v="1"/>
    <n v="796"/>
    <x v="147"/>
    <n v="172"/>
    <n v="21356.5"/>
    <n v="2316"/>
    <x v="9"/>
  </r>
  <r>
    <s v="2018-19"/>
    <x v="24"/>
    <x v="173"/>
    <x v="0"/>
    <n v="4789"/>
    <x v="91"/>
    <n v="4945.75"/>
    <n v="182143.42"/>
    <n v="20574"/>
    <x v="10"/>
  </r>
  <r>
    <s v="2018-19"/>
    <x v="49"/>
    <x v="174"/>
    <x v="1"/>
    <n v="129"/>
    <x v="80"/>
    <n v="190.03"/>
    <n v="2796.07"/>
    <n v="815"/>
    <x v="10"/>
  </r>
  <r>
    <s v="2018-19"/>
    <x v="44"/>
    <x v="20"/>
    <x v="1"/>
    <n v="11880"/>
    <x v="58"/>
    <n v="6015.69"/>
    <n v="472042"/>
    <n v="21156"/>
    <x v="10"/>
  </r>
  <r>
    <s v="2018-19"/>
    <x v="51"/>
    <x v="175"/>
    <x v="0"/>
    <n v="1187"/>
    <x v="148"/>
    <n v="1023"/>
    <n v="8898"/>
    <n v="4018"/>
    <x v="10"/>
  </r>
  <r>
    <s v="2018-19"/>
    <x v="54"/>
    <x v="91"/>
    <x v="1"/>
    <n v="230"/>
    <x v="45"/>
    <n v="81.77"/>
    <n v="106.79"/>
    <n v="586"/>
    <x v="10"/>
  </r>
  <r>
    <s v="2018-19"/>
    <x v="30"/>
    <x v="176"/>
    <x v="0"/>
    <n v="548"/>
    <x v="149"/>
    <n v="387.6"/>
    <n v="11627.98"/>
    <n v="2153"/>
    <x v="10"/>
  </r>
  <r>
    <s v="2018-19"/>
    <x v="3"/>
    <x v="177"/>
    <x v="1"/>
    <n v="3688"/>
    <x v="150"/>
    <n v="12980"/>
    <n v="135246"/>
    <n v="22962"/>
    <x v="10"/>
  </r>
  <r>
    <s v="2018-19"/>
    <x v="21"/>
    <x v="178"/>
    <x v="1"/>
    <n v="2058"/>
    <x v="151"/>
    <n v="3725.08"/>
    <n v="43041.5"/>
    <n v="9587"/>
    <x v="10"/>
  </r>
  <r>
    <s v="2018-19"/>
    <x v="35"/>
    <x v="13"/>
    <x v="1"/>
    <n v="1395"/>
    <x v="152"/>
    <n v="1642.5"/>
    <n v="1533"/>
    <n v="3850"/>
    <x v="10"/>
  </r>
  <r>
    <s v="2018-19"/>
    <x v="5"/>
    <x v="179"/>
    <x v="1"/>
    <n v="1149"/>
    <x v="48"/>
    <n v="229.14"/>
    <n v="61405.19"/>
    <n v="5495"/>
    <x v="10"/>
  </r>
  <r>
    <s v="2018-19"/>
    <x v="8"/>
    <x v="180"/>
    <x v="1"/>
    <n v="3066"/>
    <x v="153"/>
    <n v="7601.93"/>
    <n v="209756"/>
    <n v="17709"/>
    <x v="10"/>
  </r>
  <r>
    <s v="2018-19"/>
    <x v="9"/>
    <x v="181"/>
    <x v="1"/>
    <n v="3589"/>
    <x v="154"/>
    <n v="8859.0300000000007"/>
    <n v="231117.27"/>
    <n v="21985"/>
    <x v="10"/>
  </r>
  <r>
    <s v="2018-19"/>
    <x v="14"/>
    <x v="182"/>
    <x v="1"/>
    <n v="2262"/>
    <x v="155"/>
    <n v="5059.4799999999996"/>
    <n v="174056.37"/>
    <n v="14266"/>
    <x v="10"/>
  </r>
  <r>
    <s v="2018-19"/>
    <x v="18"/>
    <x v="1"/>
    <x v="1"/>
    <n v="2497"/>
    <x v="111"/>
    <n v="4622.79"/>
    <n v="151731.06"/>
    <n v="12743"/>
    <x v="10"/>
  </r>
  <r>
    <s v="2018-19"/>
    <x v="45"/>
    <x v="4"/>
    <x v="1"/>
    <n v="473"/>
    <x v="156"/>
    <n v="644.85"/>
    <n v="0"/>
    <n v="2898"/>
    <x v="10"/>
  </r>
  <r>
    <s v="2018-19"/>
    <x v="27"/>
    <x v="183"/>
    <x v="1"/>
    <n v="3437"/>
    <x v="18"/>
    <n v="7061.16"/>
    <n v="251291"/>
    <n v="22412"/>
    <x v="10"/>
  </r>
  <r>
    <s v="2018-19"/>
    <x v="43"/>
    <x v="103"/>
    <x v="1"/>
    <n v="1284"/>
    <x v="29"/>
    <n v="185.31"/>
    <n v="7064.17"/>
    <n v="3484"/>
    <x v="10"/>
  </r>
  <r>
    <s v="2018-19"/>
    <x v="46"/>
    <x v="184"/>
    <x v="1"/>
    <n v="1775"/>
    <x v="77"/>
    <n v="5578.28"/>
    <n v="112541.1"/>
    <n v="11085"/>
    <x v="10"/>
  </r>
  <r>
    <s v="2018-19"/>
    <x v="34"/>
    <x v="185"/>
    <x v="1"/>
    <n v="284"/>
    <x v="59"/>
    <n v="121.12"/>
    <n v="214.89"/>
    <n v="1166"/>
    <x v="10"/>
  </r>
  <r>
    <s v="2018-19"/>
    <x v="29"/>
    <x v="186"/>
    <x v="1"/>
    <n v="11837"/>
    <x v="8"/>
    <n v="26020.85"/>
    <n v="584846.86"/>
    <n v="53263"/>
    <x v="10"/>
  </r>
  <r>
    <s v="2018-19"/>
    <x v="57"/>
    <x v="0"/>
    <x v="0"/>
    <n v="1679"/>
    <x v="106"/>
    <n v="4469.3100000000004"/>
    <n v="65882.259999999995"/>
    <n v="0"/>
    <x v="10"/>
  </r>
  <r>
    <s v="2018-19"/>
    <x v="13"/>
    <x v="130"/>
    <x v="0"/>
    <n v="534"/>
    <x v="157"/>
    <n v="554.79999999999995"/>
    <n v="12149"/>
    <n v="1965"/>
    <x v="10"/>
  </r>
  <r>
    <s v="2018-19"/>
    <x v="10"/>
    <x v="126"/>
    <x v="1"/>
    <n v="3951"/>
    <x v="158"/>
    <n v="4286.16"/>
    <n v="142586"/>
    <n v="19663"/>
    <x v="10"/>
  </r>
  <r>
    <s v="2018-19"/>
    <x v="2"/>
    <x v="2"/>
    <x v="1"/>
    <n v="37"/>
    <x v="26"/>
    <n v="0.66"/>
    <n v="153.43"/>
    <n v="262"/>
    <x v="10"/>
  </r>
  <r>
    <s v="2018-19"/>
    <x v="0"/>
    <x v="144"/>
    <x v="1"/>
    <n v="250"/>
    <x v="84"/>
    <n v="5.72"/>
    <n v="25.75"/>
    <n v="1050"/>
    <x v="10"/>
  </r>
  <r>
    <s v="2018-19"/>
    <x v="17"/>
    <x v="12"/>
    <x v="1"/>
    <n v="6675"/>
    <x v="113"/>
    <n v="12775"/>
    <n v="174033.58"/>
    <n v="33878"/>
    <x v="10"/>
  </r>
  <r>
    <s v="2018-19"/>
    <x v="16"/>
    <x v="187"/>
    <x v="2"/>
    <n v="579"/>
    <x v="47"/>
    <n v="266"/>
    <n v="14812"/>
    <n v="1090"/>
    <x v="10"/>
  </r>
  <r>
    <s v="2018-19"/>
    <x v="38"/>
    <x v="13"/>
    <x v="1"/>
    <n v="476"/>
    <x v="75"/>
    <n v="547.5"/>
    <n v="248.2"/>
    <n v="2713"/>
    <x v="10"/>
  </r>
  <r>
    <s v="2018-19"/>
    <x v="11"/>
    <x v="188"/>
    <x v="1"/>
    <n v="8042"/>
    <x v="102"/>
    <n v="7436.94"/>
    <n v="373846.57"/>
    <n v="40148"/>
    <x v="10"/>
  </r>
  <r>
    <s v="2018-19"/>
    <x v="56"/>
    <x v="87"/>
    <x v="1"/>
    <n v="3216"/>
    <x v="159"/>
    <n v="0"/>
    <n v="68500.710000000006"/>
    <n v="10426"/>
    <x v="10"/>
  </r>
  <r>
    <s v="2018-19"/>
    <x v="39"/>
    <x v="91"/>
    <x v="1"/>
    <n v="512"/>
    <x v="64"/>
    <n v="43.24"/>
    <n v="4169.51"/>
    <n v="2147"/>
    <x v="10"/>
  </r>
  <r>
    <s v="2018-19"/>
    <x v="36"/>
    <x v="164"/>
    <x v="1"/>
    <n v="120"/>
    <x v="21"/>
    <n v="12.22"/>
    <n v="588.28"/>
    <n v="1313"/>
    <x v="10"/>
  </r>
  <r>
    <s v="2018-19"/>
    <x v="7"/>
    <x v="134"/>
    <x v="1"/>
    <n v="8778"/>
    <x v="160"/>
    <n v="10986.09"/>
    <n v="428313.81"/>
    <n v="38604"/>
    <x v="10"/>
  </r>
  <r>
    <s v="2018-19"/>
    <x v="52"/>
    <x v="17"/>
    <x v="1"/>
    <n v="126"/>
    <x v="11"/>
    <n v="96"/>
    <n v="72"/>
    <n v="445"/>
    <x v="10"/>
  </r>
  <r>
    <s v="2018-19"/>
    <x v="31"/>
    <x v="184"/>
    <x v="1"/>
    <n v="5679"/>
    <x v="72"/>
    <n v="9524"/>
    <n v="282848"/>
    <n v="33145"/>
    <x v="10"/>
  </r>
  <r>
    <s v="2018-19"/>
    <x v="6"/>
    <x v="9"/>
    <x v="1"/>
    <n v="18796"/>
    <x v="40"/>
    <n v="24078.48"/>
    <n v="610514"/>
    <n v="101879"/>
    <x v="10"/>
  </r>
  <r>
    <s v="2018-19"/>
    <x v="58"/>
    <x v="32"/>
    <x v="1"/>
    <n v="253"/>
    <x v="161"/>
    <n v="519.75"/>
    <n v="161.07"/>
    <n v="0"/>
    <x v="10"/>
  </r>
  <r>
    <s v="2018-19"/>
    <x v="4"/>
    <x v="2"/>
    <x v="1"/>
    <n v="62"/>
    <x v="71"/>
    <n v="2.52"/>
    <n v="440.78"/>
    <n v="221"/>
    <x v="10"/>
  </r>
  <r>
    <s v="2018-19"/>
    <x v="26"/>
    <x v="165"/>
    <x v="1"/>
    <n v="905"/>
    <x v="162"/>
    <n v="0"/>
    <n v="22964.26"/>
    <n v="3300"/>
    <x v="10"/>
  </r>
  <r>
    <s v="2018-19"/>
    <x v="1"/>
    <x v="189"/>
    <x v="1"/>
    <n v="898"/>
    <x v="163"/>
    <n v="214"/>
    <n v="26304.75"/>
    <n v="2793"/>
    <x v="10"/>
  </r>
  <r>
    <s v="2018-19"/>
    <x v="23"/>
    <x v="190"/>
    <x v="1"/>
    <n v="4990"/>
    <x v="73"/>
    <n v="8205.2000000000007"/>
    <n v="193067"/>
    <n v="23665"/>
    <x v="10"/>
  </r>
  <r>
    <s v="2018-19"/>
    <x v="55"/>
    <x v="191"/>
    <x v="1"/>
    <n v="405"/>
    <x v="32"/>
    <n v="1.71"/>
    <n v="214.89"/>
    <n v="1195"/>
    <x v="10"/>
  </r>
  <r>
    <s v="2018-19"/>
    <x v="22"/>
    <x v="192"/>
    <x v="1"/>
    <n v="441"/>
    <x v="164"/>
    <n v="71.7"/>
    <n v="12201.57"/>
    <n v="1538"/>
    <x v="10"/>
  </r>
  <r>
    <s v="2018-19"/>
    <x v="48"/>
    <x v="2"/>
    <x v="1"/>
    <n v="1138"/>
    <x v="70"/>
    <n v="0.28000000000000003"/>
    <n v="1300"/>
    <n v="4247"/>
    <x v="10"/>
  </r>
  <r>
    <s v="2018-19"/>
    <x v="19"/>
    <x v="193"/>
    <x v="2"/>
    <n v="3322"/>
    <x v="128"/>
    <n v="8068"/>
    <n v="53000"/>
    <n v="29045"/>
    <x v="10"/>
  </r>
  <r>
    <s v="2018-19"/>
    <x v="25"/>
    <x v="194"/>
    <x v="1"/>
    <n v="5295"/>
    <x v="165"/>
    <n v="3106.89"/>
    <n v="266449.26"/>
    <n v="15279"/>
    <x v="10"/>
  </r>
  <r>
    <s v="2018-19"/>
    <x v="50"/>
    <x v="195"/>
    <x v="0"/>
    <n v="216"/>
    <x v="92"/>
    <n v="128.07"/>
    <n v="1452.6"/>
    <n v="558"/>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121F1E-0E62-4E2F-9A86-B0E5468F0C64}" name="PivotTable10" cacheId="1" applyNumberFormats="0" applyBorderFormats="0" applyFontFormats="0" applyPatternFormats="0" applyAlignmentFormats="0" applyWidthHeightFormats="1" dataCaption="Values" updatedVersion="8" minRefreshableVersion="3" useAutoFormatting="1" itemPrintTitles="1" createdVersion="8" indent="0" multipleFieldFilters="0" chartFormat="15">
  <location ref="A3:F9" firstHeaderRow="1" firstDataRow="2" firstDataCol="1"/>
  <pivotFields count="10">
    <pivotField showAll="0"/>
    <pivotField axis="axisRow" showAll="0">
      <items count="60">
        <item h="1" x="54"/>
        <item h="1" x="58"/>
        <item h="1" x="20"/>
        <item h="1" x="34"/>
        <item h="1" x="29"/>
        <item h="1" x="37"/>
        <item h="1" x="43"/>
        <item h="1" x="17"/>
        <item h="1" x="19"/>
        <item h="1" x="16"/>
        <item h="1" x="15"/>
        <item h="1" x="13"/>
        <item h="1" x="57"/>
        <item h="1" x="12"/>
        <item h="1" x="11"/>
        <item h="1" x="10"/>
        <item h="1" x="56"/>
        <item h="1" x="39"/>
        <item h="1" x="55"/>
        <item h="1" x="30"/>
        <item h="1" x="50"/>
        <item h="1" x="32"/>
        <item h="1" x="53"/>
        <item h="1" x="7"/>
        <item h="1" x="31"/>
        <item h="1" x="49"/>
        <item h="1" x="6"/>
        <item h="1" x="52"/>
        <item h="1" x="4"/>
        <item h="1" x="3"/>
        <item h="1" x="2"/>
        <item h="1" x="0"/>
        <item h="1" x="41"/>
        <item h="1" x="26"/>
        <item h="1" x="24"/>
        <item h="1" x="23"/>
        <item x="22"/>
        <item x="48"/>
        <item h="1" x="47"/>
        <item x="35"/>
        <item h="1" x="21"/>
        <item x="25"/>
        <item h="1" x="36"/>
        <item h="1" x="40"/>
        <item h="1" x="1"/>
        <item h="1" x="5"/>
        <item h="1" x="38"/>
        <item h="1" x="42"/>
        <item h="1" x="45"/>
        <item h="1" x="8"/>
        <item h="1" x="9"/>
        <item h="1" x="14"/>
        <item h="1" x="18"/>
        <item h="1" x="46"/>
        <item h="1" x="27"/>
        <item h="1" x="28"/>
        <item h="1" x="44"/>
        <item h="1" x="33"/>
        <item h="1" x="51"/>
        <item t="default"/>
      </items>
    </pivotField>
    <pivotField showAll="0">
      <items count="197">
        <item x="0"/>
        <item x="30"/>
        <item x="40"/>
        <item x="26"/>
        <item x="10"/>
        <item x="28"/>
        <item x="148"/>
        <item x="90"/>
        <item x="47"/>
        <item x="65"/>
        <item x="50"/>
        <item x="68"/>
        <item x="48"/>
        <item x="151"/>
        <item x="119"/>
        <item x="21"/>
        <item x="23"/>
        <item x="156"/>
        <item x="8"/>
        <item x="100"/>
        <item x="108"/>
        <item x="82"/>
        <item x="29"/>
        <item x="78"/>
        <item x="176"/>
        <item x="14"/>
        <item x="71"/>
        <item x="51"/>
        <item x="157"/>
        <item x="125"/>
        <item x="80"/>
        <item x="39"/>
        <item x="109"/>
        <item x="6"/>
        <item x="136"/>
        <item x="175"/>
        <item x="73"/>
        <item x="43"/>
        <item x="173"/>
        <item x="45"/>
        <item x="160"/>
        <item x="130"/>
        <item x="149"/>
        <item x="37"/>
        <item x="168"/>
        <item x="69"/>
        <item x="77"/>
        <item x="19"/>
        <item x="166"/>
        <item x="116"/>
        <item x="195"/>
        <item x="63"/>
        <item x="94"/>
        <item x="92"/>
        <item x="4"/>
        <item x="105"/>
        <item x="171"/>
        <item x="33"/>
        <item x="126"/>
        <item x="192"/>
        <item x="137"/>
        <item x="99"/>
        <item x="18"/>
        <item x="131"/>
        <item x="134"/>
        <item x="120"/>
        <item x="36"/>
        <item x="103"/>
        <item x="55"/>
        <item x="188"/>
        <item x="135"/>
        <item x="114"/>
        <item x="7"/>
        <item x="85"/>
        <item x="154"/>
        <item x="150"/>
        <item x="127"/>
        <item x="62"/>
        <item x="155"/>
        <item x="74"/>
        <item x="133"/>
        <item x="87"/>
        <item x="76"/>
        <item x="64"/>
        <item x="20"/>
        <item x="117"/>
        <item x="84"/>
        <item x="122"/>
        <item x="143"/>
        <item x="83"/>
        <item x="5"/>
        <item x="186"/>
        <item x="66"/>
        <item x="81"/>
        <item x="11"/>
        <item x="170"/>
        <item x="179"/>
        <item x="191"/>
        <item x="25"/>
        <item x="96"/>
        <item x="75"/>
        <item x="110"/>
        <item x="61"/>
        <item x="189"/>
        <item x="111"/>
        <item x="107"/>
        <item x="31"/>
        <item x="194"/>
        <item x="79"/>
        <item x="101"/>
        <item x="89"/>
        <item x="145"/>
        <item x="115"/>
        <item x="3"/>
        <item x="141"/>
        <item x="165"/>
        <item x="32"/>
        <item x="172"/>
        <item x="86"/>
        <item x="98"/>
        <item x="12"/>
        <item x="52"/>
        <item x="113"/>
        <item x="24"/>
        <item x="180"/>
        <item x="139"/>
        <item x="123"/>
        <item x="27"/>
        <item x="164"/>
        <item x="183"/>
        <item x="72"/>
        <item x="13"/>
        <item x="140"/>
        <item x="181"/>
        <item x="138"/>
        <item x="184"/>
        <item x="9"/>
        <item x="174"/>
        <item x="102"/>
        <item x="46"/>
        <item x="132"/>
        <item x="56"/>
        <item x="190"/>
        <item x="97"/>
        <item x="22"/>
        <item x="182"/>
        <item x="142"/>
        <item x="1"/>
        <item x="60"/>
        <item x="128"/>
        <item x="41"/>
        <item x="124"/>
        <item x="162"/>
        <item x="144"/>
        <item x="35"/>
        <item x="158"/>
        <item x="118"/>
        <item x="152"/>
        <item x="42"/>
        <item x="163"/>
        <item x="2"/>
        <item x="95"/>
        <item x="161"/>
        <item x="178"/>
        <item x="49"/>
        <item x="112"/>
        <item x="53"/>
        <item x="88"/>
        <item x="159"/>
        <item x="93"/>
        <item x="59"/>
        <item x="16"/>
        <item x="167"/>
        <item x="177"/>
        <item x="38"/>
        <item x="17"/>
        <item x="147"/>
        <item x="104"/>
        <item x="185"/>
        <item x="34"/>
        <item x="146"/>
        <item x="169"/>
        <item x="44"/>
        <item x="91"/>
        <item x="58"/>
        <item x="70"/>
        <item x="193"/>
        <item x="54"/>
        <item x="15"/>
        <item x="106"/>
        <item x="57"/>
        <item x="67"/>
        <item x="121"/>
        <item x="129"/>
        <item x="153"/>
        <item x="187"/>
        <item t="default"/>
      </items>
    </pivotField>
    <pivotField showAll="0"/>
    <pivotField showAll="0"/>
    <pivotField showAll="0"/>
    <pivotField dataField="1" showAll="0"/>
    <pivotField showAll="0"/>
    <pivotField showAll="0"/>
    <pivotField axis="axisCol" showAll="0">
      <items count="12">
        <item x="0"/>
        <item h="1" x="1"/>
        <item x="2"/>
        <item h="1" x="3"/>
        <item h="1" x="4"/>
        <item h="1" x="5"/>
        <item x="6"/>
        <item h="1" x="7"/>
        <item h="1" x="8"/>
        <item h="1" x="9"/>
        <item x="10"/>
        <item t="default"/>
      </items>
    </pivotField>
  </pivotFields>
  <rowFields count="1">
    <field x="1"/>
  </rowFields>
  <rowItems count="5">
    <i>
      <x v="36"/>
    </i>
    <i>
      <x v="37"/>
    </i>
    <i>
      <x v="39"/>
    </i>
    <i>
      <x v="41"/>
    </i>
    <i t="grand">
      <x/>
    </i>
  </rowItems>
  <colFields count="1">
    <field x="9"/>
  </colFields>
  <colItems count="5">
    <i>
      <x/>
    </i>
    <i>
      <x v="2"/>
    </i>
    <i>
      <x v="6"/>
    </i>
    <i>
      <x v="10"/>
    </i>
    <i t="grand">
      <x/>
    </i>
  </colItems>
  <dataFields count="1">
    <dataField name="Sum of Passenger carried" fld="6" baseField="0" baseItem="0"/>
  </dataFields>
  <chartFormats count="23">
    <chartFormat chart="0" format="0" series="1">
      <pivotArea type="data" outline="0" fieldPosition="0">
        <references count="2">
          <reference field="4294967294" count="1" selected="0">
            <x v="0"/>
          </reference>
          <reference field="9" count="1" selected="0">
            <x v="0"/>
          </reference>
        </references>
      </pivotArea>
    </chartFormat>
    <chartFormat chart="0" format="1" series="1">
      <pivotArea type="data" outline="0" fieldPosition="0">
        <references count="2">
          <reference field="4294967294" count="1" selected="0">
            <x v="0"/>
          </reference>
          <reference field="9" count="1" selected="0">
            <x v="1"/>
          </reference>
        </references>
      </pivotArea>
    </chartFormat>
    <chartFormat chart="0" format="2" series="1">
      <pivotArea type="data" outline="0" fieldPosition="0">
        <references count="2">
          <reference field="4294967294" count="1" selected="0">
            <x v="0"/>
          </reference>
          <reference field="9" count="1" selected="0">
            <x v="2"/>
          </reference>
        </references>
      </pivotArea>
    </chartFormat>
    <chartFormat chart="0" format="3" series="1">
      <pivotArea type="data" outline="0" fieldPosition="0">
        <references count="2">
          <reference field="4294967294" count="1" selected="0">
            <x v="0"/>
          </reference>
          <reference field="9" count="1" selected="0">
            <x v="3"/>
          </reference>
        </references>
      </pivotArea>
    </chartFormat>
    <chartFormat chart="0" format="4" series="1">
      <pivotArea type="data" outline="0" fieldPosition="0">
        <references count="2">
          <reference field="4294967294" count="1" selected="0">
            <x v="0"/>
          </reference>
          <reference field="9" count="1" selected="0">
            <x v="4"/>
          </reference>
        </references>
      </pivotArea>
    </chartFormat>
    <chartFormat chart="0" format="5" series="1">
      <pivotArea type="data" outline="0" fieldPosition="0">
        <references count="2">
          <reference field="4294967294" count="1" selected="0">
            <x v="0"/>
          </reference>
          <reference field="9" count="1" selected="0">
            <x v="5"/>
          </reference>
        </references>
      </pivotArea>
    </chartFormat>
    <chartFormat chart="0" format="6" series="1">
      <pivotArea type="data" outline="0" fieldPosition="0">
        <references count="2">
          <reference field="4294967294" count="1" selected="0">
            <x v="0"/>
          </reference>
          <reference field="9" count="1" selected="0">
            <x v="6"/>
          </reference>
        </references>
      </pivotArea>
    </chartFormat>
    <chartFormat chart="0" format="7" series="1">
      <pivotArea type="data" outline="0" fieldPosition="0">
        <references count="2">
          <reference field="4294967294" count="1" selected="0">
            <x v="0"/>
          </reference>
          <reference field="9" count="1" selected="0">
            <x v="7"/>
          </reference>
        </references>
      </pivotArea>
    </chartFormat>
    <chartFormat chart="0" format="8" series="1">
      <pivotArea type="data" outline="0" fieldPosition="0">
        <references count="2">
          <reference field="4294967294" count="1" selected="0">
            <x v="0"/>
          </reference>
          <reference field="9" count="1" selected="0">
            <x v="8"/>
          </reference>
        </references>
      </pivotArea>
    </chartFormat>
    <chartFormat chart="0" format="9" series="1">
      <pivotArea type="data" outline="0" fieldPosition="0">
        <references count="2">
          <reference field="4294967294" count="1" selected="0">
            <x v="0"/>
          </reference>
          <reference field="9" count="1" selected="0">
            <x v="9"/>
          </reference>
        </references>
      </pivotArea>
    </chartFormat>
    <chartFormat chart="0" format="10" series="1">
      <pivotArea type="data" outline="0" fieldPosition="0">
        <references count="2">
          <reference field="4294967294" count="1" selected="0">
            <x v="0"/>
          </reference>
          <reference field="9" count="1" selected="0">
            <x v="10"/>
          </reference>
        </references>
      </pivotArea>
    </chartFormat>
    <chartFormat chart="0" format="11" series="1">
      <pivotArea type="data" outline="0" fieldPosition="0">
        <references count="1">
          <reference field="4294967294" count="1" selected="0">
            <x v="0"/>
          </reference>
        </references>
      </pivotArea>
    </chartFormat>
    <chartFormat chart="14" format="23" series="1">
      <pivotArea type="data" outline="0" fieldPosition="0">
        <references count="2">
          <reference field="4294967294" count="1" selected="0">
            <x v="0"/>
          </reference>
          <reference field="9" count="1" selected="0">
            <x v="0"/>
          </reference>
        </references>
      </pivotArea>
    </chartFormat>
    <chartFormat chart="14" format="24" series="1">
      <pivotArea type="data" outline="0" fieldPosition="0">
        <references count="2">
          <reference field="4294967294" count="1" selected="0">
            <x v="0"/>
          </reference>
          <reference field="9" count="1" selected="0">
            <x v="1"/>
          </reference>
        </references>
      </pivotArea>
    </chartFormat>
    <chartFormat chart="14" format="25" series="1">
      <pivotArea type="data" outline="0" fieldPosition="0">
        <references count="2">
          <reference field="4294967294" count="1" selected="0">
            <x v="0"/>
          </reference>
          <reference field="9" count="1" selected="0">
            <x v="2"/>
          </reference>
        </references>
      </pivotArea>
    </chartFormat>
    <chartFormat chart="14" format="26" series="1">
      <pivotArea type="data" outline="0" fieldPosition="0">
        <references count="2">
          <reference field="4294967294" count="1" selected="0">
            <x v="0"/>
          </reference>
          <reference field="9" count="1" selected="0">
            <x v="3"/>
          </reference>
        </references>
      </pivotArea>
    </chartFormat>
    <chartFormat chart="14" format="27" series="1">
      <pivotArea type="data" outline="0" fieldPosition="0">
        <references count="2">
          <reference field="4294967294" count="1" selected="0">
            <x v="0"/>
          </reference>
          <reference field="9" count="1" selected="0">
            <x v="4"/>
          </reference>
        </references>
      </pivotArea>
    </chartFormat>
    <chartFormat chart="14" format="28" series="1">
      <pivotArea type="data" outline="0" fieldPosition="0">
        <references count="2">
          <reference field="4294967294" count="1" selected="0">
            <x v="0"/>
          </reference>
          <reference field="9" count="1" selected="0">
            <x v="5"/>
          </reference>
        </references>
      </pivotArea>
    </chartFormat>
    <chartFormat chart="14" format="29" series="1">
      <pivotArea type="data" outline="0" fieldPosition="0">
        <references count="2">
          <reference field="4294967294" count="1" selected="0">
            <x v="0"/>
          </reference>
          <reference field="9" count="1" selected="0">
            <x v="6"/>
          </reference>
        </references>
      </pivotArea>
    </chartFormat>
    <chartFormat chart="14" format="30" series="1">
      <pivotArea type="data" outline="0" fieldPosition="0">
        <references count="2">
          <reference field="4294967294" count="1" selected="0">
            <x v="0"/>
          </reference>
          <reference field="9" count="1" selected="0">
            <x v="7"/>
          </reference>
        </references>
      </pivotArea>
    </chartFormat>
    <chartFormat chart="14" format="31" series="1">
      <pivotArea type="data" outline="0" fieldPosition="0">
        <references count="2">
          <reference field="4294967294" count="1" selected="0">
            <x v="0"/>
          </reference>
          <reference field="9" count="1" selected="0">
            <x v="8"/>
          </reference>
        </references>
      </pivotArea>
    </chartFormat>
    <chartFormat chart="14" format="32" series="1">
      <pivotArea type="data" outline="0" fieldPosition="0">
        <references count="2">
          <reference field="4294967294" count="1" selected="0">
            <x v="0"/>
          </reference>
          <reference field="9" count="1" selected="0">
            <x v="9"/>
          </reference>
        </references>
      </pivotArea>
    </chartFormat>
    <chartFormat chart="14" format="33" series="1">
      <pivotArea type="data" outline="0" fieldPosition="0">
        <references count="2">
          <reference field="4294967294" count="1" selected="0">
            <x v="0"/>
          </reference>
          <reference field="9"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4B82777-AF64-4635-8839-0BACED9C073B}" name="PivotTable11" cacheId="1" applyNumberFormats="0" applyBorderFormats="0" applyFontFormats="0" applyPatternFormats="0" applyAlignmentFormats="0" applyWidthHeightFormats="1" dataCaption="Values" updatedVersion="8" minRefreshableVersion="3" useAutoFormatting="1" itemPrintTitles="1" createdVersion="8" indent="0" multipleFieldFilters="0" chartFormat="11">
  <location ref="A3:B8" firstHeaderRow="1" firstDataRow="1" firstDataCol="1"/>
  <pivotFields count="10">
    <pivotField showAll="0"/>
    <pivotField showAll="0">
      <items count="60">
        <item h="1" x="54"/>
        <item h="1" x="58"/>
        <item h="1" x="20"/>
        <item h="1" x="34"/>
        <item h="1" x="29"/>
        <item h="1" x="37"/>
        <item h="1" x="43"/>
        <item h="1" x="17"/>
        <item h="1" x="19"/>
        <item h="1" x="16"/>
        <item h="1" x="15"/>
        <item h="1" x="13"/>
        <item h="1" x="57"/>
        <item h="1" x="12"/>
        <item h="1" x="11"/>
        <item h="1" x="10"/>
        <item h="1" x="56"/>
        <item h="1" x="39"/>
        <item h="1" x="55"/>
        <item h="1" x="30"/>
        <item h="1" x="50"/>
        <item h="1" x="32"/>
        <item h="1" x="53"/>
        <item h="1" x="7"/>
        <item h="1" x="31"/>
        <item h="1" x="49"/>
        <item h="1" x="6"/>
        <item h="1" x="52"/>
        <item h="1" x="4"/>
        <item h="1" x="3"/>
        <item h="1" x="2"/>
        <item h="1" x="0"/>
        <item h="1" x="41"/>
        <item h="1" x="26"/>
        <item h="1" x="24"/>
        <item h="1" x="23"/>
        <item x="22"/>
        <item x="48"/>
        <item h="1" x="47"/>
        <item x="35"/>
        <item h="1" x="21"/>
        <item x="25"/>
        <item h="1" x="36"/>
        <item h="1" x="40"/>
        <item h="1" x="1"/>
        <item h="1" x="5"/>
        <item h="1" x="38"/>
        <item h="1" x="42"/>
        <item h="1" x="45"/>
        <item h="1" x="8"/>
        <item h="1" x="9"/>
        <item h="1" x="14"/>
        <item h="1" x="18"/>
        <item h="1" x="46"/>
        <item h="1" x="27"/>
        <item h="1" x="28"/>
        <item h="1" x="44"/>
        <item h="1" x="33"/>
        <item h="1" x="51"/>
        <item t="default"/>
      </items>
    </pivotField>
    <pivotField dataField="1" showAll="0"/>
    <pivotField showAll="0"/>
    <pivotField showAll="0"/>
    <pivotField showAll="0"/>
    <pivotField showAll="0"/>
    <pivotField showAll="0"/>
    <pivotField showAll="0"/>
    <pivotField axis="axisRow" showAll="0">
      <items count="12">
        <item x="0"/>
        <item h="1" x="1"/>
        <item x="2"/>
        <item h="1" x="3"/>
        <item h="1" x="4"/>
        <item h="1" x="5"/>
        <item x="6"/>
        <item h="1" x="7"/>
        <item h="1" x="8"/>
        <item h="1" x="9"/>
        <item x="10"/>
        <item t="default"/>
      </items>
    </pivotField>
  </pivotFields>
  <rowFields count="1">
    <field x="9"/>
  </rowFields>
  <rowItems count="5">
    <i>
      <x/>
    </i>
    <i>
      <x v="2"/>
    </i>
    <i>
      <x v="6"/>
    </i>
    <i>
      <x v="10"/>
    </i>
    <i t="grand">
      <x/>
    </i>
  </rowItems>
  <colItems count="1">
    <i/>
  </colItems>
  <dataFields count="1">
    <dataField name="Average of Fleet Age" fld="2" subtotal="average" baseField="9" baseItem="0"/>
  </dataFields>
  <chartFormats count="2">
    <chartFormat chart="4"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5FE0DD0-024B-4E5A-A6C2-07575869D1E9}" name="PivotTable12" cacheId="1"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A4:B10" firstHeaderRow="1" firstDataRow="1" firstDataCol="1" rowPageCount="2" colPageCount="1"/>
  <pivotFields count="10">
    <pivotField showAll="0"/>
    <pivotField axis="axisRow" showAll="0" measureFilter="1">
      <items count="60">
        <item x="54"/>
        <item x="58"/>
        <item x="20"/>
        <item x="34"/>
        <item x="29"/>
        <item x="37"/>
        <item x="43"/>
        <item x="17"/>
        <item x="19"/>
        <item x="16"/>
        <item x="15"/>
        <item x="13"/>
        <item x="57"/>
        <item x="12"/>
        <item x="11"/>
        <item x="10"/>
        <item x="56"/>
        <item x="39"/>
        <item x="55"/>
        <item x="30"/>
        <item x="50"/>
        <item x="32"/>
        <item x="53"/>
        <item x="7"/>
        <item x="31"/>
        <item x="49"/>
        <item x="6"/>
        <item x="52"/>
        <item x="4"/>
        <item x="3"/>
        <item x="2"/>
        <item x="0"/>
        <item x="41"/>
        <item x="26"/>
        <item x="24"/>
        <item x="23"/>
        <item x="22"/>
        <item x="48"/>
        <item x="47"/>
        <item x="35"/>
        <item x="21"/>
        <item x="25"/>
        <item x="36"/>
        <item x="40"/>
        <item x="1"/>
        <item x="5"/>
        <item x="38"/>
        <item x="42"/>
        <item x="45"/>
        <item x="8"/>
        <item x="9"/>
        <item x="14"/>
        <item x="18"/>
        <item x="46"/>
        <item x="27"/>
        <item x="28"/>
        <item x="44"/>
        <item x="33"/>
        <item x="51"/>
        <item t="default"/>
      </items>
    </pivotField>
    <pivotField axis="axisPage" multipleItemSelectionAllowed="1" showAll="0">
      <items count="197">
        <item x="0"/>
        <item x="30"/>
        <item x="40"/>
        <item x="26"/>
        <item x="10"/>
        <item x="28"/>
        <item x="148"/>
        <item x="90"/>
        <item x="47"/>
        <item x="65"/>
        <item x="50"/>
        <item x="68"/>
        <item x="48"/>
        <item x="151"/>
        <item x="119"/>
        <item x="21"/>
        <item x="23"/>
        <item x="156"/>
        <item x="8"/>
        <item x="100"/>
        <item x="108"/>
        <item x="82"/>
        <item x="29"/>
        <item x="78"/>
        <item x="176"/>
        <item x="14"/>
        <item x="71"/>
        <item x="51"/>
        <item x="157"/>
        <item x="125"/>
        <item x="80"/>
        <item x="39"/>
        <item x="109"/>
        <item x="6"/>
        <item x="136"/>
        <item x="175"/>
        <item x="73"/>
        <item x="43"/>
        <item x="173"/>
        <item x="45"/>
        <item x="160"/>
        <item x="130"/>
        <item x="149"/>
        <item x="37"/>
        <item x="168"/>
        <item x="69"/>
        <item x="77"/>
        <item x="19"/>
        <item x="166"/>
        <item x="116"/>
        <item x="195"/>
        <item x="63"/>
        <item x="94"/>
        <item x="92"/>
        <item x="4"/>
        <item x="105"/>
        <item x="171"/>
        <item x="33"/>
        <item x="126"/>
        <item x="192"/>
        <item x="137"/>
        <item x="99"/>
        <item x="18"/>
        <item x="131"/>
        <item x="134"/>
        <item x="120"/>
        <item x="36"/>
        <item x="103"/>
        <item x="55"/>
        <item x="188"/>
        <item x="135"/>
        <item x="114"/>
        <item x="7"/>
        <item x="85"/>
        <item x="154"/>
        <item x="150"/>
        <item x="127"/>
        <item x="62"/>
        <item x="155"/>
        <item x="74"/>
        <item x="133"/>
        <item x="87"/>
        <item x="76"/>
        <item x="64"/>
        <item x="20"/>
        <item x="117"/>
        <item x="84"/>
        <item x="122"/>
        <item x="143"/>
        <item x="83"/>
        <item x="5"/>
        <item x="186"/>
        <item x="66"/>
        <item x="81"/>
        <item x="11"/>
        <item x="170"/>
        <item x="179"/>
        <item x="191"/>
        <item x="25"/>
        <item x="96"/>
        <item x="75"/>
        <item x="110"/>
        <item x="61"/>
        <item x="189"/>
        <item x="111"/>
        <item x="107"/>
        <item x="31"/>
        <item x="194"/>
        <item x="79"/>
        <item x="101"/>
        <item x="89"/>
        <item x="145"/>
        <item x="115"/>
        <item x="3"/>
        <item x="141"/>
        <item x="165"/>
        <item x="32"/>
        <item x="172"/>
        <item x="86"/>
        <item x="98"/>
        <item x="12"/>
        <item x="52"/>
        <item x="113"/>
        <item x="24"/>
        <item x="180"/>
        <item x="139"/>
        <item x="123"/>
        <item x="27"/>
        <item x="164"/>
        <item x="183"/>
        <item x="72"/>
        <item x="13"/>
        <item x="140"/>
        <item x="181"/>
        <item x="138"/>
        <item x="184"/>
        <item x="9"/>
        <item x="174"/>
        <item x="102"/>
        <item x="46"/>
        <item x="132"/>
        <item x="56"/>
        <item x="190"/>
        <item x="97"/>
        <item x="22"/>
        <item x="182"/>
        <item x="142"/>
        <item x="1"/>
        <item x="60"/>
        <item x="128"/>
        <item x="41"/>
        <item x="124"/>
        <item x="162"/>
        <item x="144"/>
        <item x="35"/>
        <item x="158"/>
        <item x="118"/>
        <item x="152"/>
        <item x="42"/>
        <item x="163"/>
        <item x="2"/>
        <item x="95"/>
        <item x="161"/>
        <item x="178"/>
        <item x="49"/>
        <item x="112"/>
        <item x="53"/>
        <item x="88"/>
        <item x="159"/>
        <item x="93"/>
        <item x="59"/>
        <item x="16"/>
        <item x="167"/>
        <item x="177"/>
        <item x="38"/>
        <item x="17"/>
        <item x="147"/>
        <item x="104"/>
        <item x="185"/>
        <item x="34"/>
        <item x="146"/>
        <item x="169"/>
        <item x="44"/>
        <item x="91"/>
        <item x="58"/>
        <item x="70"/>
        <item x="193"/>
        <item x="54"/>
        <item x="15"/>
        <item x="106"/>
        <item x="57"/>
        <item x="67"/>
        <item x="121"/>
        <item x="129"/>
        <item x="153"/>
        <item x="187"/>
        <item t="default"/>
      </items>
    </pivotField>
    <pivotField showAll="0"/>
    <pivotField showAll="0"/>
    <pivotField dataField="1" showAll="0">
      <items count="167">
        <item x="106"/>
        <item x="148"/>
        <item x="133"/>
        <item x="122"/>
        <item x="156"/>
        <item x="161"/>
        <item x="61"/>
        <item x="131"/>
        <item x="62"/>
        <item x="25"/>
        <item x="128"/>
        <item x="23"/>
        <item x="103"/>
        <item x="33"/>
        <item x="28"/>
        <item x="135"/>
        <item x="50"/>
        <item x="105"/>
        <item x="17"/>
        <item x="97"/>
        <item x="32"/>
        <item x="112"/>
        <item x="46"/>
        <item x="13"/>
        <item x="85"/>
        <item x="53"/>
        <item x="140"/>
        <item x="83"/>
        <item x="130"/>
        <item x="134"/>
        <item x="26"/>
        <item x="43"/>
        <item x="84"/>
        <item x="92"/>
        <item x="139"/>
        <item x="2"/>
        <item x="151"/>
        <item x="132"/>
        <item x="22"/>
        <item x="38"/>
        <item x="14"/>
        <item x="143"/>
        <item x="9"/>
        <item x="59"/>
        <item x="159"/>
        <item x="0"/>
        <item x="104"/>
        <item x="87"/>
        <item x="113"/>
        <item x="94"/>
        <item x="108"/>
        <item x="80"/>
        <item x="55"/>
        <item x="29"/>
        <item x="21"/>
        <item x="30"/>
        <item x="157"/>
        <item x="10"/>
        <item x="95"/>
        <item x="42"/>
        <item x="129"/>
        <item x="7"/>
        <item x="147"/>
        <item x="116"/>
        <item x="109"/>
        <item x="149"/>
        <item x="141"/>
        <item x="68"/>
        <item x="1"/>
        <item x="72"/>
        <item x="123"/>
        <item x="88"/>
        <item x="93"/>
        <item x="66"/>
        <item x="3"/>
        <item x="64"/>
        <item x="99"/>
        <item x="117"/>
        <item x="162"/>
        <item x="107"/>
        <item x="35"/>
        <item x="60"/>
        <item x="24"/>
        <item x="31"/>
        <item x="54"/>
        <item x="56"/>
        <item x="57"/>
        <item x="89"/>
        <item x="11"/>
        <item x="67"/>
        <item x="20"/>
        <item x="150"/>
        <item x="86"/>
        <item x="75"/>
        <item x="82"/>
        <item x="40"/>
        <item x="163"/>
        <item x="152"/>
        <item x="144"/>
        <item x="90"/>
        <item x="119"/>
        <item x="47"/>
        <item x="146"/>
        <item x="70"/>
        <item x="27"/>
        <item x="118"/>
        <item x="158"/>
        <item x="96"/>
        <item x="81"/>
        <item x="37"/>
        <item x="39"/>
        <item x="19"/>
        <item x="164"/>
        <item x="65"/>
        <item x="101"/>
        <item x="115"/>
        <item x="142"/>
        <item x="160"/>
        <item x="4"/>
        <item x="49"/>
        <item x="5"/>
        <item x="71"/>
        <item x="52"/>
        <item x="165"/>
        <item x="120"/>
        <item x="51"/>
        <item x="15"/>
        <item x="153"/>
        <item x="73"/>
        <item x="44"/>
        <item x="69"/>
        <item x="76"/>
        <item x="48"/>
        <item x="74"/>
        <item x="77"/>
        <item x="8"/>
        <item x="58"/>
        <item x="121"/>
        <item x="91"/>
        <item x="138"/>
        <item x="16"/>
        <item x="155"/>
        <item x="137"/>
        <item x="41"/>
        <item x="102"/>
        <item x="125"/>
        <item x="12"/>
        <item x="114"/>
        <item x="36"/>
        <item x="63"/>
        <item x="6"/>
        <item x="79"/>
        <item x="110"/>
        <item x="34"/>
        <item x="126"/>
        <item x="45"/>
        <item x="18"/>
        <item x="127"/>
        <item x="98"/>
        <item x="78"/>
        <item x="111"/>
        <item x="124"/>
        <item x="136"/>
        <item x="145"/>
        <item x="154"/>
        <item x="100"/>
        <item t="default"/>
      </items>
    </pivotField>
    <pivotField showAll="0"/>
    <pivotField showAll="0"/>
    <pivotField showAll="0"/>
    <pivotField axis="axisPage" multipleItemSelectionAllowed="1" showAll="0">
      <items count="12">
        <item h="1" x="0"/>
        <item h="1" x="1"/>
        <item h="1" x="2"/>
        <item h="1" x="3"/>
        <item h="1" x="4"/>
        <item h="1" x="5"/>
        <item x="6"/>
        <item h="1" x="7"/>
        <item h="1" x="8"/>
        <item h="1" x="9"/>
        <item h="1" x="10"/>
        <item t="default"/>
      </items>
    </pivotField>
  </pivotFields>
  <rowFields count="1">
    <field x="1"/>
  </rowFields>
  <rowItems count="6">
    <i>
      <x v="14"/>
    </i>
    <i>
      <x v="50"/>
    </i>
    <i>
      <x v="51"/>
    </i>
    <i>
      <x v="52"/>
    </i>
    <i>
      <x v="54"/>
    </i>
    <i t="grand">
      <x/>
    </i>
  </rowItems>
  <colItems count="1">
    <i/>
  </colItems>
  <pageFields count="2">
    <pageField fld="9" hier="-1"/>
    <pageField fld="2" hier="-1"/>
  </pageFields>
  <dataFields count="1">
    <dataField name="Average of Fuel efficiency" fld="5" subtotal="average" baseField="1" baseItem="0"/>
  </dataFields>
  <chartFormats count="2">
    <chartFormat chart="1" format="0"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D9ACE46-C96C-4E45-9D35-F9EBED1A770C}" name="PivotTable13" cacheId="1"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3:B8" firstHeaderRow="1" firstDataRow="1" firstDataCol="1"/>
  <pivotFields count="10">
    <pivotField showAll="0"/>
    <pivotField axis="axisRow" showAll="0">
      <items count="60">
        <item h="1" x="54"/>
        <item h="1" x="58"/>
        <item h="1" x="20"/>
        <item h="1" x="34"/>
        <item h="1" x="29"/>
        <item h="1" x="37"/>
        <item h="1" x="43"/>
        <item h="1" x="17"/>
        <item h="1" x="19"/>
        <item h="1" x="16"/>
        <item h="1" x="15"/>
        <item h="1" x="13"/>
        <item h="1" x="57"/>
        <item h="1" x="12"/>
        <item h="1" x="11"/>
        <item h="1" x="10"/>
        <item h="1" x="56"/>
        <item h="1" x="39"/>
        <item h="1" x="55"/>
        <item h="1" x="30"/>
        <item h="1" x="50"/>
        <item h="1" x="32"/>
        <item h="1" x="53"/>
        <item h="1" x="7"/>
        <item h="1" x="31"/>
        <item h="1" x="49"/>
        <item h="1" x="6"/>
        <item h="1" x="52"/>
        <item h="1" x="4"/>
        <item h="1" x="3"/>
        <item h="1" x="2"/>
        <item h="1" x="0"/>
        <item h="1" x="41"/>
        <item h="1" x="26"/>
        <item h="1" x="24"/>
        <item h="1" x="23"/>
        <item x="22"/>
        <item x="48"/>
        <item h="1" x="47"/>
        <item x="35"/>
        <item h="1" x="21"/>
        <item x="25"/>
        <item h="1" x="36"/>
        <item h="1" x="40"/>
        <item h="1" x="1"/>
        <item h="1" x="5"/>
        <item h="1" x="38"/>
        <item h="1" x="42"/>
        <item h="1" x="45"/>
        <item h="1" x="8"/>
        <item h="1" x="9"/>
        <item h="1" x="14"/>
        <item h="1" x="18"/>
        <item h="1" x="46"/>
        <item h="1" x="27"/>
        <item h="1" x="28"/>
        <item h="1" x="44"/>
        <item h="1" x="33"/>
        <item h="1" x="51"/>
        <item t="default"/>
      </items>
    </pivotField>
    <pivotField showAll="0"/>
    <pivotField showAll="0"/>
    <pivotField dataField="1" showAll="0"/>
    <pivotField showAll="0"/>
    <pivotField showAll="0"/>
    <pivotField showAll="0"/>
    <pivotField showAll="0"/>
    <pivotField showAll="0">
      <items count="12">
        <item x="0"/>
        <item h="1" x="1"/>
        <item x="2"/>
        <item h="1" x="3"/>
        <item h="1" x="4"/>
        <item h="1" x="5"/>
        <item x="6"/>
        <item h="1" x="7"/>
        <item h="1" x="8"/>
        <item h="1" x="9"/>
        <item x="10"/>
        <item t="default"/>
      </items>
    </pivotField>
  </pivotFields>
  <rowFields count="1">
    <field x="1"/>
  </rowFields>
  <rowItems count="5">
    <i>
      <x v="36"/>
    </i>
    <i>
      <x v="37"/>
    </i>
    <i>
      <x v="39"/>
    </i>
    <i>
      <x v="41"/>
    </i>
    <i t="grand">
      <x/>
    </i>
  </rowItems>
  <colItems count="1">
    <i/>
  </colItems>
  <dataFields count="1">
    <dataField name="Sum of Fleet Held" fld="4"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198EF3-1C23-4E07-9D84-5BB22145E89A}" name="PivotTable14" cacheId="1" applyNumberFormats="0" applyBorderFormats="0" applyFontFormats="0" applyPatternFormats="0" applyAlignmentFormats="0" applyWidthHeightFormats="1" dataCaption="Values" updatedVersion="8" minRefreshableVersion="3" useAutoFormatting="1" itemPrintTitles="1" createdVersion="8" indent="0" multipleFieldFilters="0" chartFormat="18">
  <location ref="A3:B8" firstHeaderRow="1" firstDataRow="1" firstDataCol="1"/>
  <pivotFields count="10">
    <pivotField showAll="0"/>
    <pivotField showAll="0">
      <items count="60">
        <item h="1" x="54"/>
        <item h="1" x="58"/>
        <item h="1" x="20"/>
        <item h="1" x="34"/>
        <item h="1" x="29"/>
        <item h="1" x="37"/>
        <item h="1" x="43"/>
        <item h="1" x="17"/>
        <item h="1" x="19"/>
        <item h="1" x="16"/>
        <item h="1" x="15"/>
        <item h="1" x="13"/>
        <item h="1" x="57"/>
        <item h="1" x="12"/>
        <item h="1" x="11"/>
        <item h="1" x="10"/>
        <item h="1" x="56"/>
        <item h="1" x="39"/>
        <item h="1" x="55"/>
        <item h="1" x="30"/>
        <item h="1" x="50"/>
        <item h="1" x="32"/>
        <item h="1" x="53"/>
        <item h="1" x="7"/>
        <item h="1" x="31"/>
        <item h="1" x="49"/>
        <item h="1" x="6"/>
        <item h="1" x="52"/>
        <item h="1" x="4"/>
        <item h="1" x="3"/>
        <item h="1" x="2"/>
        <item h="1" x="0"/>
        <item h="1" x="41"/>
        <item h="1" x="26"/>
        <item h="1" x="24"/>
        <item h="1" x="23"/>
        <item x="22"/>
        <item x="48"/>
        <item h="1" x="47"/>
        <item x="35"/>
        <item h="1" x="21"/>
        <item x="25"/>
        <item h="1" x="36"/>
        <item h="1" x="40"/>
        <item h="1" x="1"/>
        <item h="1" x="5"/>
        <item h="1" x="38"/>
        <item h="1" x="42"/>
        <item h="1" x="45"/>
        <item h="1" x="8"/>
        <item h="1" x="9"/>
        <item h="1" x="14"/>
        <item h="1" x="18"/>
        <item h="1" x="46"/>
        <item h="1" x="27"/>
        <item h="1" x="28"/>
        <item h="1" x="44"/>
        <item h="1" x="33"/>
        <item h="1" x="51"/>
        <item t="default"/>
      </items>
    </pivotField>
    <pivotField showAll="0"/>
    <pivotField showAll="0"/>
    <pivotField showAll="0"/>
    <pivotField showAll="0"/>
    <pivotField dataField="1" showAll="0"/>
    <pivotField showAll="0"/>
    <pivotField showAll="0"/>
    <pivotField axis="axisRow" showAll="0">
      <items count="12">
        <item x="0"/>
        <item h="1" x="1"/>
        <item x="2"/>
        <item h="1" x="3"/>
        <item h="1" x="4"/>
        <item h="1" x="5"/>
        <item x="6"/>
        <item h="1" x="7"/>
        <item h="1" x="8"/>
        <item h="1" x="9"/>
        <item x="10"/>
        <item t="default"/>
      </items>
    </pivotField>
  </pivotFields>
  <rowFields count="1">
    <field x="9"/>
  </rowFields>
  <rowItems count="5">
    <i>
      <x/>
    </i>
    <i>
      <x v="2"/>
    </i>
    <i>
      <x v="6"/>
    </i>
    <i>
      <x v="10"/>
    </i>
    <i t="grand">
      <x/>
    </i>
  </rowItems>
  <colItems count="1">
    <i/>
  </colItems>
  <dataFields count="1">
    <dataField name="Sum of Passenger carried" fld="6" baseField="0" baseItem="0"/>
  </dataFields>
  <chartFormats count="8">
    <chartFormat chart="5"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7" format="38" series="1">
      <pivotArea type="data" outline="0" fieldPosition="0">
        <references count="1">
          <reference field="4294967294" count="1" selected="0">
            <x v="0"/>
          </reference>
        </references>
      </pivotArea>
    </chartFormat>
    <chartFormat chart="17" format="39">
      <pivotArea type="data" outline="0" fieldPosition="0">
        <references count="2">
          <reference field="4294967294" count="1" selected="0">
            <x v="0"/>
          </reference>
          <reference field="9" count="1" selected="0">
            <x v="3"/>
          </reference>
        </references>
      </pivotArea>
    </chartFormat>
    <chartFormat chart="17" format="40">
      <pivotArea type="data" outline="0" fieldPosition="0">
        <references count="2">
          <reference field="4294967294" count="1" selected="0">
            <x v="0"/>
          </reference>
          <reference field="9" count="1" selected="0">
            <x v="6"/>
          </reference>
        </references>
      </pivotArea>
    </chartFormat>
    <chartFormat chart="17" format="41">
      <pivotArea type="data" outline="0" fieldPosition="0">
        <references count="2">
          <reference field="4294967294" count="1" selected="0">
            <x v="0"/>
          </reference>
          <reference field="9" count="1" selected="0">
            <x v="7"/>
          </reference>
        </references>
      </pivotArea>
    </chartFormat>
    <chartFormat chart="17" format="42">
      <pivotArea type="data" outline="0" fieldPosition="0">
        <references count="2">
          <reference field="4294967294" count="1" selected="0">
            <x v="0"/>
          </reference>
          <reference field="9"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EC2687C-F1E7-495F-BE9C-62BE7A64B612}" name="PivotTable15" cacheId="1" applyNumberFormats="0" applyBorderFormats="0" applyFontFormats="0" applyPatternFormats="0" applyAlignmentFormats="0" applyWidthHeightFormats="1" dataCaption="Values" updatedVersion="8" minRefreshableVersion="3" useAutoFormatting="1" itemPrintTitles="1" createdVersion="8" indent="0" multipleFieldFilters="0" chartFormat="14">
  <location ref="A3:B6" firstHeaderRow="1" firstDataRow="1" firstDataCol="1"/>
  <pivotFields count="10">
    <pivotField showAll="0"/>
    <pivotField showAll="0">
      <items count="60">
        <item h="1" x="54"/>
        <item h="1" x="58"/>
        <item h="1" x="20"/>
        <item h="1" x="34"/>
        <item h="1" x="29"/>
        <item h="1" x="37"/>
        <item h="1" x="43"/>
        <item h="1" x="17"/>
        <item h="1" x="19"/>
        <item h="1" x="16"/>
        <item h="1" x="15"/>
        <item h="1" x="13"/>
        <item h="1" x="57"/>
        <item h="1" x="12"/>
        <item h="1" x="11"/>
        <item h="1" x="10"/>
        <item h="1" x="56"/>
        <item h="1" x="39"/>
        <item h="1" x="55"/>
        <item h="1" x="30"/>
        <item h="1" x="50"/>
        <item h="1" x="32"/>
        <item h="1" x="53"/>
        <item h="1" x="7"/>
        <item h="1" x="31"/>
        <item h="1" x="49"/>
        <item h="1" x="6"/>
        <item h="1" x="52"/>
        <item h="1" x="4"/>
        <item h="1" x="3"/>
        <item h="1" x="2"/>
        <item h="1" x="0"/>
        <item h="1" x="41"/>
        <item h="1" x="26"/>
        <item h="1" x="24"/>
        <item h="1" x="23"/>
        <item x="22"/>
        <item x="48"/>
        <item h="1" x="47"/>
        <item x="35"/>
        <item h="1" x="21"/>
        <item x="25"/>
        <item h="1" x="36"/>
        <item h="1" x="40"/>
        <item h="1" x="1"/>
        <item h="1" x="5"/>
        <item h="1" x="38"/>
        <item h="1" x="42"/>
        <item h="1" x="45"/>
        <item h="1" x="8"/>
        <item h="1" x="9"/>
        <item h="1" x="14"/>
        <item h="1" x="18"/>
        <item h="1" x="46"/>
        <item h="1" x="27"/>
        <item h="1" x="28"/>
        <item h="1" x="44"/>
        <item h="1" x="33"/>
        <item h="1" x="51"/>
        <item t="default"/>
      </items>
    </pivotField>
    <pivotField dataField="1" showAll="0"/>
    <pivotField axis="axisRow" showAll="0">
      <items count="4">
        <item x="0"/>
        <item x="2"/>
        <item x="1"/>
        <item t="default"/>
      </items>
    </pivotField>
    <pivotField showAll="0"/>
    <pivotField showAll="0"/>
    <pivotField showAll="0"/>
    <pivotField showAll="0"/>
    <pivotField showAll="0"/>
    <pivotField showAll="0">
      <items count="12">
        <item x="0"/>
        <item h="1" x="1"/>
        <item x="2"/>
        <item h="1" x="3"/>
        <item h="1" x="4"/>
        <item h="1" x="5"/>
        <item x="6"/>
        <item h="1" x="7"/>
        <item h="1" x="8"/>
        <item h="1" x="9"/>
        <item x="10"/>
        <item t="default"/>
      </items>
    </pivotField>
  </pivotFields>
  <rowFields count="1">
    <field x="3"/>
  </rowFields>
  <rowItems count="3">
    <i>
      <x/>
    </i>
    <i>
      <x v="2"/>
    </i>
    <i t="grand">
      <x/>
    </i>
  </rowItems>
  <colItems count="1">
    <i/>
  </colItems>
  <dataFields count="1">
    <dataField name="Sum of Fleet Age" fld="2" baseField="0" baseItem="0"/>
  </dataFields>
  <chartFormats count="8">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3" count="1" selected="0">
            <x v="0"/>
          </reference>
        </references>
      </pivotArea>
    </chartFormat>
    <chartFormat chart="2" format="2">
      <pivotArea type="data" outline="0" fieldPosition="0">
        <references count="2">
          <reference field="4294967294" count="1" selected="0">
            <x v="0"/>
          </reference>
          <reference field="3" count="1" selected="0">
            <x v="1"/>
          </reference>
        </references>
      </pivotArea>
    </chartFormat>
    <chartFormat chart="2" format="3">
      <pivotArea type="data" outline="0" fieldPosition="0">
        <references count="2">
          <reference field="4294967294" count="1" selected="0">
            <x v="0"/>
          </reference>
          <reference field="3" count="1" selected="0">
            <x v="2"/>
          </reference>
        </references>
      </pivotArea>
    </chartFormat>
    <chartFormat chart="13" format="8" series="1">
      <pivotArea type="data" outline="0" fieldPosition="0">
        <references count="1">
          <reference field="4294967294" count="1" selected="0">
            <x v="0"/>
          </reference>
        </references>
      </pivotArea>
    </chartFormat>
    <chartFormat chart="13" format="9">
      <pivotArea type="data" outline="0" fieldPosition="0">
        <references count="2">
          <reference field="4294967294" count="1" selected="0">
            <x v="0"/>
          </reference>
          <reference field="3" count="1" selected="0">
            <x v="0"/>
          </reference>
        </references>
      </pivotArea>
    </chartFormat>
    <chartFormat chart="13" format="10">
      <pivotArea type="data" outline="0" fieldPosition="0">
        <references count="2">
          <reference field="4294967294" count="1" selected="0">
            <x v="0"/>
          </reference>
          <reference field="3" count="1" selected="0">
            <x v="1"/>
          </reference>
        </references>
      </pivotArea>
    </chartFormat>
    <chartFormat chart="13" format="1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940EF4-BD8D-4882-BE60-2182A05B2CD1}" name="PivotTable16" cacheId="1"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3:B8" firstHeaderRow="1" firstDataRow="1" firstDataCol="1" rowPageCount="1" colPageCount="1"/>
  <pivotFields count="10">
    <pivotField showAll="0"/>
    <pivotField axis="axisRow" showAll="0">
      <items count="60">
        <item h="1" x="54"/>
        <item h="1" x="58"/>
        <item h="1" x="20"/>
        <item h="1" x="34"/>
        <item h="1" x="29"/>
        <item h="1" x="37"/>
        <item h="1" x="43"/>
        <item h="1" x="17"/>
        <item h="1" x="19"/>
        <item h="1" x="16"/>
        <item h="1" x="15"/>
        <item h="1" x="13"/>
        <item h="1" x="57"/>
        <item h="1" x="12"/>
        <item h="1" x="11"/>
        <item h="1" x="10"/>
        <item h="1" x="56"/>
        <item h="1" x="39"/>
        <item h="1" x="55"/>
        <item h="1" x="30"/>
        <item h="1" x="50"/>
        <item h="1" x="32"/>
        <item h="1" x="53"/>
        <item h="1" x="7"/>
        <item h="1" x="31"/>
        <item h="1" x="49"/>
        <item h="1" x="6"/>
        <item h="1" x="52"/>
        <item h="1" x="4"/>
        <item h="1" x="3"/>
        <item h="1" x="2"/>
        <item h="1" x="0"/>
        <item h="1" x="41"/>
        <item h="1" x="26"/>
        <item h="1" x="24"/>
        <item h="1" x="23"/>
        <item x="22"/>
        <item x="48"/>
        <item h="1" x="47"/>
        <item x="35"/>
        <item h="1" x="21"/>
        <item x="25"/>
        <item h="1" x="36"/>
        <item h="1" x="40"/>
        <item h="1" x="1"/>
        <item h="1" x="5"/>
        <item h="1" x="38"/>
        <item h="1" x="42"/>
        <item h="1" x="45"/>
        <item h="1" x="8"/>
        <item h="1" x="9"/>
        <item h="1" x="14"/>
        <item h="1" x="18"/>
        <item h="1" x="46"/>
        <item h="1" x="27"/>
        <item h="1" x="28"/>
        <item h="1" x="44"/>
        <item h="1" x="33"/>
        <item h="1" x="51"/>
        <item t="default"/>
      </items>
    </pivotField>
    <pivotField showAll="0"/>
    <pivotField showAll="0"/>
    <pivotField showAll="0"/>
    <pivotField showAll="0"/>
    <pivotField showAll="0"/>
    <pivotField dataField="1" showAll="0"/>
    <pivotField showAll="0"/>
    <pivotField axis="axisPage" multipleItemSelectionAllowed="1" showAll="0">
      <items count="12">
        <item x="0"/>
        <item h="1" x="1"/>
        <item x="2"/>
        <item h="1" x="3"/>
        <item h="1" x="4"/>
        <item h="1" x="5"/>
        <item x="6"/>
        <item h="1" x="7"/>
        <item h="1" x="8"/>
        <item h="1" x="9"/>
        <item x="10"/>
        <item t="default"/>
      </items>
    </pivotField>
  </pivotFields>
  <rowFields count="1">
    <field x="1"/>
  </rowFields>
  <rowItems count="5">
    <i>
      <x v="36"/>
    </i>
    <i>
      <x v="37"/>
    </i>
    <i>
      <x v="39"/>
    </i>
    <i>
      <x v="41"/>
    </i>
    <i t="grand">
      <x/>
    </i>
  </rowItems>
  <colItems count="1">
    <i/>
  </colItems>
  <pageFields count="1">
    <pageField fld="9" hier="-1"/>
  </pageFields>
  <dataFields count="1">
    <dataField name="Sum of Passenger KM" fld="7" baseField="0" baseItem="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4"/>
          </reference>
        </references>
      </pivotArea>
    </chartFormat>
    <chartFormat chart="0" format="4">
      <pivotArea type="data" outline="0" fieldPosition="0">
        <references count="2">
          <reference field="4294967294" count="1" selected="0">
            <x v="0"/>
          </reference>
          <reference field="1" count="1" selected="0">
            <x v="8"/>
          </reference>
        </references>
      </pivotArea>
    </chartFormat>
    <chartFormat chart="0" format="5">
      <pivotArea type="data" outline="0" fieldPosition="0">
        <references count="2">
          <reference field="4294967294" count="1" selected="0">
            <x v="0"/>
          </reference>
          <reference field="1" count="1" selected="0">
            <x v="9"/>
          </reference>
        </references>
      </pivotArea>
    </chartFormat>
    <chartFormat chart="0" format="6">
      <pivotArea type="data" outline="0" fieldPosition="0">
        <references count="2">
          <reference field="4294967294" count="1" selected="0">
            <x v="0"/>
          </reference>
          <reference field="1" count="1" selected="0">
            <x v="31"/>
          </reference>
        </references>
      </pivotArea>
    </chartFormat>
    <chartFormat chart="0" format="7">
      <pivotArea type="data" outline="0" fieldPosition="0">
        <references count="2">
          <reference field="4294967294" count="1" selected="0">
            <x v="0"/>
          </reference>
          <reference field="1" count="1" selected="0">
            <x v="32"/>
          </reference>
        </references>
      </pivotArea>
    </chartFormat>
    <chartFormat chart="0" format="8">
      <pivotArea type="data" outline="0" fieldPosition="0">
        <references count="2">
          <reference field="4294967294" count="1" selected="0">
            <x v="0"/>
          </reference>
          <reference field="1" count="1" selected="0">
            <x v="33"/>
          </reference>
        </references>
      </pivotArea>
    </chartFormat>
    <chartFormat chart="0" format="9">
      <pivotArea type="data" outline="0" fieldPosition="0">
        <references count="2">
          <reference field="4294967294" count="1" selected="0">
            <x v="0"/>
          </reference>
          <reference field="1" count="1" selected="0">
            <x v="34"/>
          </reference>
        </references>
      </pivotArea>
    </chartFormat>
    <chartFormat chart="0" format="10">
      <pivotArea type="data" outline="0" fieldPosition="0">
        <references count="2">
          <reference field="4294967294" count="1" selected="0">
            <x v="0"/>
          </reference>
          <reference field="1" count="1" selected="0">
            <x v="35"/>
          </reference>
        </references>
      </pivotArea>
    </chartFormat>
    <chartFormat chart="0" format="11">
      <pivotArea type="data" outline="0" fieldPosition="0">
        <references count="2">
          <reference field="4294967294" count="1" selected="0">
            <x v="0"/>
          </reference>
          <reference field="1" count="1" selected="0">
            <x v="36"/>
          </reference>
        </references>
      </pivotArea>
    </chartFormat>
    <chartFormat chart="0" format="12">
      <pivotArea type="data" outline="0" fieldPosition="0">
        <references count="2">
          <reference field="4294967294" count="1" selected="0">
            <x v="0"/>
          </reference>
          <reference field="1" count="1" selected="0">
            <x v="38"/>
          </reference>
        </references>
      </pivotArea>
    </chartFormat>
    <chartFormat chart="0" format="13">
      <pivotArea type="data" outline="0" fieldPosition="0">
        <references count="2">
          <reference field="4294967294" count="1" selected="0">
            <x v="0"/>
          </reference>
          <reference field="1" count="1" selected="0">
            <x v="40"/>
          </reference>
        </references>
      </pivotArea>
    </chartFormat>
    <chartFormat chart="0" format="14">
      <pivotArea type="data" outline="0" fieldPosition="0">
        <references count="2">
          <reference field="4294967294" count="1" selected="0">
            <x v="0"/>
          </reference>
          <reference field="1" count="1" selected="0">
            <x v="4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336C5A1-C94B-42CE-9554-1591962A67A5}" name="PivotTable1" cacheId="1"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A3:B8" firstHeaderRow="1" firstDataRow="1" firstDataCol="1"/>
  <pivotFields count="10">
    <pivotField showAll="0"/>
    <pivotField axis="axisRow" showAll="0">
      <items count="60">
        <item h="1" x="54"/>
        <item h="1" x="58"/>
        <item h="1" x="20"/>
        <item h="1" x="34"/>
        <item h="1" x="29"/>
        <item h="1" x="37"/>
        <item h="1" x="43"/>
        <item h="1" x="17"/>
        <item h="1" x="19"/>
        <item h="1" x="16"/>
        <item h="1" x="15"/>
        <item h="1" x="13"/>
        <item h="1" x="57"/>
        <item h="1" x="12"/>
        <item h="1" x="11"/>
        <item h="1" x="10"/>
        <item h="1" x="56"/>
        <item h="1" x="39"/>
        <item h="1" x="55"/>
        <item h="1" x="30"/>
        <item h="1" x="50"/>
        <item h="1" x="32"/>
        <item h="1" x="53"/>
        <item h="1" x="7"/>
        <item h="1" x="31"/>
        <item h="1" x="49"/>
        <item h="1" x="6"/>
        <item h="1" x="52"/>
        <item h="1" x="4"/>
        <item h="1" x="3"/>
        <item h="1" x="2"/>
        <item h="1" x="0"/>
        <item h="1" x="41"/>
        <item h="1" x="26"/>
        <item h="1" x="24"/>
        <item h="1" x="23"/>
        <item x="22"/>
        <item x="48"/>
        <item h="1" x="47"/>
        <item x="35"/>
        <item h="1" x="21"/>
        <item x="25"/>
        <item h="1" x="36"/>
        <item h="1" x="40"/>
        <item h="1" x="1"/>
        <item h="1" x="5"/>
        <item h="1" x="38"/>
        <item h="1" x="42"/>
        <item h="1" x="45"/>
        <item h="1" x="8"/>
        <item h="1" x="9"/>
        <item h="1" x="14"/>
        <item h="1" x="18"/>
        <item h="1" x="46"/>
        <item h="1" x="27"/>
        <item h="1" x="28"/>
        <item h="1" x="44"/>
        <item h="1" x="33"/>
        <item h="1" x="51"/>
        <item t="default"/>
      </items>
    </pivotField>
    <pivotField showAll="0"/>
    <pivotField showAll="0"/>
    <pivotField showAll="0"/>
    <pivotField dataField="1" showAll="0"/>
    <pivotField showAll="0"/>
    <pivotField showAll="0"/>
    <pivotField showAll="0"/>
    <pivotField showAll="0">
      <items count="12">
        <item x="0"/>
        <item h="1" x="1"/>
        <item x="2"/>
        <item h="1" x="3"/>
        <item h="1" x="4"/>
        <item h="1" x="5"/>
        <item x="6"/>
        <item h="1" x="7"/>
        <item h="1" x="8"/>
        <item h="1" x="9"/>
        <item x="10"/>
        <item t="default"/>
      </items>
    </pivotField>
  </pivotFields>
  <rowFields count="1">
    <field x="1"/>
  </rowFields>
  <rowItems count="5">
    <i>
      <x v="36"/>
    </i>
    <i>
      <x v="37"/>
    </i>
    <i>
      <x v="39"/>
    </i>
    <i>
      <x v="41"/>
    </i>
    <i t="grand">
      <x/>
    </i>
  </rowItems>
  <colItems count="1">
    <i/>
  </colItems>
  <dataFields count="1">
    <dataField name="Sum of Fuel efficiency" fld="5" baseField="0" baseItem="0"/>
  </dataFields>
  <chartFormats count="2">
    <chartFormat chart="5" format="1"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124C167-7F37-4AA4-A395-53F9B42A932A}" name="PivotTable2" cacheId="1"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3:C8" firstHeaderRow="0" firstDataRow="1" firstDataCol="1"/>
  <pivotFields count="10">
    <pivotField showAll="0"/>
    <pivotField axis="axisRow" showAll="0">
      <items count="60">
        <item h="1" x="54"/>
        <item h="1" x="58"/>
        <item h="1" x="20"/>
        <item h="1" x="34"/>
        <item h="1" x="29"/>
        <item h="1" x="37"/>
        <item h="1" x="43"/>
        <item h="1" x="17"/>
        <item h="1" x="19"/>
        <item h="1" x="16"/>
        <item h="1" x="15"/>
        <item h="1" x="13"/>
        <item h="1" x="57"/>
        <item h="1" x="12"/>
        <item h="1" x="11"/>
        <item h="1" x="10"/>
        <item h="1" x="56"/>
        <item h="1" x="39"/>
        <item h="1" x="55"/>
        <item h="1" x="30"/>
        <item h="1" x="50"/>
        <item h="1" x="32"/>
        <item h="1" x="53"/>
        <item h="1" x="7"/>
        <item h="1" x="31"/>
        <item h="1" x="49"/>
        <item h="1" x="6"/>
        <item h="1" x="52"/>
        <item h="1" x="4"/>
        <item h="1" x="3"/>
        <item h="1" x="2"/>
        <item h="1" x="0"/>
        <item h="1" x="41"/>
        <item h="1" x="26"/>
        <item h="1" x="24"/>
        <item h="1" x="23"/>
        <item x="22"/>
        <item x="48"/>
        <item h="1" x="47"/>
        <item x="35"/>
        <item h="1" x="21"/>
        <item x="25"/>
        <item h="1" x="36"/>
        <item h="1" x="40"/>
        <item h="1" x="1"/>
        <item h="1" x="5"/>
        <item h="1" x="38"/>
        <item h="1" x="42"/>
        <item h="1" x="45"/>
        <item h="1" x="8"/>
        <item h="1" x="9"/>
        <item h="1" x="14"/>
        <item h="1" x="18"/>
        <item h="1" x="46"/>
        <item h="1" x="27"/>
        <item h="1" x="28"/>
        <item h="1" x="44"/>
        <item h="1" x="33"/>
        <item h="1" x="51"/>
        <item t="default"/>
      </items>
    </pivotField>
    <pivotField dataField="1" showAll="0"/>
    <pivotField showAll="0"/>
    <pivotField showAll="0"/>
    <pivotField dataField="1" showAll="0"/>
    <pivotField showAll="0"/>
    <pivotField showAll="0"/>
    <pivotField showAll="0"/>
    <pivotField showAll="0">
      <items count="12">
        <item x="0"/>
        <item h="1" x="1"/>
        <item x="2"/>
        <item h="1" x="3"/>
        <item h="1" x="4"/>
        <item h="1" x="5"/>
        <item x="6"/>
        <item h="1" x="7"/>
        <item h="1" x="8"/>
        <item h="1" x="9"/>
        <item x="10"/>
        <item t="default"/>
      </items>
    </pivotField>
  </pivotFields>
  <rowFields count="1">
    <field x="1"/>
  </rowFields>
  <rowItems count="5">
    <i>
      <x v="36"/>
    </i>
    <i>
      <x v="37"/>
    </i>
    <i>
      <x v="39"/>
    </i>
    <i>
      <x v="41"/>
    </i>
    <i t="grand">
      <x/>
    </i>
  </rowItems>
  <colFields count="1">
    <field x="-2"/>
  </colFields>
  <colItems count="2">
    <i>
      <x/>
    </i>
    <i i="1">
      <x v="1"/>
    </i>
  </colItems>
  <dataFields count="2">
    <dataField name="Average of Fuel efficiency" fld="5" subtotal="average" baseField="1" baseItem="0"/>
    <dataField name="Average of Fleet Age" fld="2"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RTU" xr10:uid="{1E7F2016-FC4F-48C6-A35B-303F163BB10B}" sourceName="SRTU">
  <pivotTables>
    <pivotTable tabId="3" name="PivotTable10"/>
    <pivotTable tabId="6" name="PivotTable13"/>
    <pivotTable tabId="7" name="PivotTable14"/>
    <pivotTable tabId="8" name="PivotTable15"/>
    <pivotTable tabId="9" name="PivotTable16"/>
    <pivotTable tabId="14" name="PivotTable2"/>
    <pivotTable tabId="13" name="PivotTable1"/>
    <pivotTable tabId="4" name="PivotTable11"/>
  </pivotTables>
  <data>
    <tabular pivotCacheId="1792599825">
      <items count="59">
        <i x="54"/>
        <i x="58"/>
        <i x="20"/>
        <i x="34"/>
        <i x="29"/>
        <i x="43"/>
        <i x="17"/>
        <i x="19"/>
        <i x="16"/>
        <i x="15"/>
        <i x="13"/>
        <i x="57"/>
        <i x="12"/>
        <i x="11"/>
        <i x="10"/>
        <i x="56"/>
        <i x="39"/>
        <i x="55"/>
        <i x="30"/>
        <i x="50"/>
        <i x="32"/>
        <i x="7"/>
        <i x="31"/>
        <i x="49"/>
        <i x="6"/>
        <i x="52"/>
        <i x="4"/>
        <i x="3"/>
        <i x="2"/>
        <i x="0"/>
        <i x="41"/>
        <i x="26"/>
        <i x="24"/>
        <i x="23"/>
        <i x="22" s="1"/>
        <i x="48" s="1"/>
        <i x="35" s="1"/>
        <i x="21"/>
        <i x="25" s="1"/>
        <i x="36"/>
        <i x="1"/>
        <i x="5"/>
        <i x="38"/>
        <i x="42"/>
        <i x="45"/>
        <i x="8"/>
        <i x="9"/>
        <i x="14"/>
        <i x="18"/>
        <i x="46"/>
        <i x="27"/>
        <i x="28"/>
        <i x="44"/>
        <i x="51"/>
        <i x="37" nd="1"/>
        <i x="53" nd="1"/>
        <i x="47" nd="1"/>
        <i x="40" nd="1"/>
        <i x="3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eet_Age" xr10:uid="{CD251315-9D95-47C9-BB68-30B67D294052}" sourceName="Fleet Age">
  <pivotTables>
    <pivotTable tabId="3" name="PivotTable10"/>
  </pivotTables>
  <data>
    <tabular pivotCacheId="1792599825">
      <items count="196">
        <i x="29" s="1"/>
        <i x="78" s="1"/>
        <i x="37" s="1"/>
        <i x="77" s="1"/>
        <i x="19" s="1"/>
        <i x="192" s="1"/>
        <i x="194" s="1"/>
        <i x="13" s="1"/>
        <i x="2" s="1"/>
        <i x="17" s="1"/>
        <i x="0" s="1" nd="1"/>
        <i x="30" s="1" nd="1"/>
        <i x="40" s="1" nd="1"/>
        <i x="26" s="1" nd="1"/>
        <i x="10" s="1" nd="1"/>
        <i x="28" s="1" nd="1"/>
        <i x="148" s="1" nd="1"/>
        <i x="90" s="1" nd="1"/>
        <i x="47" s="1" nd="1"/>
        <i x="65" s="1" nd="1"/>
        <i x="50" s="1" nd="1"/>
        <i x="68" s="1" nd="1"/>
        <i x="48" s="1" nd="1"/>
        <i x="151" s="1" nd="1"/>
        <i x="119" s="1" nd="1"/>
        <i x="21" s="1" nd="1"/>
        <i x="23" s="1" nd="1"/>
        <i x="156" s="1" nd="1"/>
        <i x="8" s="1" nd="1"/>
        <i x="100" s="1" nd="1"/>
        <i x="108" s="1" nd="1"/>
        <i x="82" s="1" nd="1"/>
        <i x="176" s="1" nd="1"/>
        <i x="14" s="1" nd="1"/>
        <i x="71" s="1" nd="1"/>
        <i x="51" s="1" nd="1"/>
        <i x="157" s="1" nd="1"/>
        <i x="125" s="1" nd="1"/>
        <i x="80" s="1" nd="1"/>
        <i x="39" s="1" nd="1"/>
        <i x="109" s="1" nd="1"/>
        <i x="6" s="1" nd="1"/>
        <i x="136" s="1" nd="1"/>
        <i x="175" s="1" nd="1"/>
        <i x="73" s="1" nd="1"/>
        <i x="43" s="1" nd="1"/>
        <i x="173" s="1" nd="1"/>
        <i x="45" s="1" nd="1"/>
        <i x="160" s="1" nd="1"/>
        <i x="130" s="1" nd="1"/>
        <i x="149" s="1" nd="1"/>
        <i x="168" s="1" nd="1"/>
        <i x="69" s="1" nd="1"/>
        <i x="166" s="1" nd="1"/>
        <i x="116" s="1" nd="1"/>
        <i x="195" s="1" nd="1"/>
        <i x="63" s="1" nd="1"/>
        <i x="94" s="1" nd="1"/>
        <i x="92" s="1" nd="1"/>
        <i x="4" s="1" nd="1"/>
        <i x="105" s="1" nd="1"/>
        <i x="171" s="1" nd="1"/>
        <i x="33" s="1" nd="1"/>
        <i x="126" s="1" nd="1"/>
        <i x="137" s="1" nd="1"/>
        <i x="99" s="1" nd="1"/>
        <i x="18" s="1" nd="1"/>
        <i x="131" s="1" nd="1"/>
        <i x="134" s="1" nd="1"/>
        <i x="120" s="1" nd="1"/>
        <i x="36" s="1" nd="1"/>
        <i x="103" s="1" nd="1"/>
        <i x="55" s="1" nd="1"/>
        <i x="188" s="1" nd="1"/>
        <i x="135" s="1" nd="1"/>
        <i x="114" s="1" nd="1"/>
        <i x="7" s="1" nd="1"/>
        <i x="85" s="1" nd="1"/>
        <i x="154" s="1" nd="1"/>
        <i x="150" s="1" nd="1"/>
        <i x="127" s="1" nd="1"/>
        <i x="62" s="1" nd="1"/>
        <i x="155" s="1" nd="1"/>
        <i x="74" s="1" nd="1"/>
        <i x="133" s="1" nd="1"/>
        <i x="87" s="1" nd="1"/>
        <i x="76" s="1" nd="1"/>
        <i x="64" s="1" nd="1"/>
        <i x="20" s="1" nd="1"/>
        <i x="117" s="1" nd="1"/>
        <i x="84" s="1" nd="1"/>
        <i x="122" s="1" nd="1"/>
        <i x="143" s="1" nd="1"/>
        <i x="83" s="1" nd="1"/>
        <i x="5" s="1" nd="1"/>
        <i x="186" s="1" nd="1"/>
        <i x="66" s="1" nd="1"/>
        <i x="81" s="1" nd="1"/>
        <i x="11" s="1" nd="1"/>
        <i x="170" s="1" nd="1"/>
        <i x="179" s="1" nd="1"/>
        <i x="191" s="1" nd="1"/>
        <i x="25" s="1" nd="1"/>
        <i x="96" s="1" nd="1"/>
        <i x="75" s="1" nd="1"/>
        <i x="110" s="1" nd="1"/>
        <i x="61" s="1" nd="1"/>
        <i x="189" s="1" nd="1"/>
        <i x="111" s="1" nd="1"/>
        <i x="107" s="1" nd="1"/>
        <i x="31" s="1" nd="1"/>
        <i x="79" s="1" nd="1"/>
        <i x="101" s="1" nd="1"/>
        <i x="89" s="1" nd="1"/>
        <i x="145" s="1" nd="1"/>
        <i x="115" s="1" nd="1"/>
        <i x="3" s="1" nd="1"/>
        <i x="141" s="1" nd="1"/>
        <i x="165" s="1" nd="1"/>
        <i x="32" s="1" nd="1"/>
        <i x="172" s="1" nd="1"/>
        <i x="86" s="1" nd="1"/>
        <i x="98" s="1" nd="1"/>
        <i x="12" s="1" nd="1"/>
        <i x="52" s="1" nd="1"/>
        <i x="113" s="1" nd="1"/>
        <i x="24" s="1" nd="1"/>
        <i x="180" s="1" nd="1"/>
        <i x="139" s="1" nd="1"/>
        <i x="123" s="1" nd="1"/>
        <i x="27" s="1" nd="1"/>
        <i x="164" s="1" nd="1"/>
        <i x="183" s="1" nd="1"/>
        <i x="72" s="1" nd="1"/>
        <i x="140" s="1" nd="1"/>
        <i x="181" s="1" nd="1"/>
        <i x="138" s="1" nd="1"/>
        <i x="184" s="1" nd="1"/>
        <i x="9" s="1" nd="1"/>
        <i x="174" s="1" nd="1"/>
        <i x="102" s="1" nd="1"/>
        <i x="46" s="1" nd="1"/>
        <i x="132" s="1" nd="1"/>
        <i x="56" s="1" nd="1"/>
        <i x="190" s="1" nd="1"/>
        <i x="97" s="1" nd="1"/>
        <i x="22" s="1" nd="1"/>
        <i x="182" s="1" nd="1"/>
        <i x="142" s="1" nd="1"/>
        <i x="1" s="1" nd="1"/>
        <i x="60" s="1" nd="1"/>
        <i x="128" s="1" nd="1"/>
        <i x="41" s="1" nd="1"/>
        <i x="124" s="1" nd="1"/>
        <i x="162" s="1" nd="1"/>
        <i x="144" s="1" nd="1"/>
        <i x="35" s="1" nd="1"/>
        <i x="158" s="1" nd="1"/>
        <i x="118" s="1" nd="1"/>
        <i x="152" s="1" nd="1"/>
        <i x="42" s="1" nd="1"/>
        <i x="163" s="1" nd="1"/>
        <i x="95" s="1" nd="1"/>
        <i x="161" s="1" nd="1"/>
        <i x="178" s="1" nd="1"/>
        <i x="49" s="1" nd="1"/>
        <i x="112" s="1" nd="1"/>
        <i x="53" s="1" nd="1"/>
        <i x="88" s="1" nd="1"/>
        <i x="159" s="1" nd="1"/>
        <i x="93" s="1" nd="1"/>
        <i x="59" s="1" nd="1"/>
        <i x="16" s="1" nd="1"/>
        <i x="167" s="1" nd="1"/>
        <i x="177" s="1" nd="1"/>
        <i x="38" s="1" nd="1"/>
        <i x="147" s="1" nd="1"/>
        <i x="104" s="1" nd="1"/>
        <i x="185" s="1" nd="1"/>
        <i x="34" s="1" nd="1"/>
        <i x="146" s="1" nd="1"/>
        <i x="169" s="1" nd="1"/>
        <i x="44" s="1" nd="1"/>
        <i x="91" s="1" nd="1"/>
        <i x="58" s="1" nd="1"/>
        <i x="70" s="1" nd="1"/>
        <i x="193" s="1" nd="1"/>
        <i x="54" s="1" nd="1"/>
        <i x="15" s="1" nd="1"/>
        <i x="106" s="1" nd="1"/>
        <i x="57" s="1" nd="1"/>
        <i x="67" s="1" nd="1"/>
        <i x="121" s="1" nd="1"/>
        <i x="129" s="1" nd="1"/>
        <i x="153" s="1" nd="1"/>
        <i x="18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7166C45-BF37-4A6A-A0DF-01C6D8F5306E}" sourceName="Year">
  <pivotTables>
    <pivotTable tabId="3" name="PivotTable10"/>
    <pivotTable tabId="6" name="PivotTable13"/>
    <pivotTable tabId="7" name="PivotTable14"/>
    <pivotTable tabId="8" name="PivotTable15"/>
    <pivotTable tabId="9" name="PivotTable16"/>
    <pivotTable tabId="13" name="PivotTable1"/>
    <pivotTable tabId="14" name="PivotTable2"/>
    <pivotTable tabId="4" name="PivotTable11"/>
  </pivotTables>
  <data>
    <tabular pivotCacheId="1792599825">
      <items count="11">
        <i x="0" s="1"/>
        <i x="1"/>
        <i x="2" s="1"/>
        <i x="3"/>
        <i x="4"/>
        <i x="5"/>
        <i x="6" s="1"/>
        <i x="7"/>
        <i x="8"/>
        <i x="9"/>
        <i x="1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RTU" xr10:uid="{E3D5C891-401C-46D9-B214-6C2AD6C24E35}" cache="Slicer_SRTU" caption="SRTU" rowHeight="241300"/>
  <slicer name="Fleet Age" xr10:uid="{70667DB8-91F2-4894-8B34-FE80E43D1721}" cache="Slicer_Fleet_Age" caption="Fleet Age" rowHeight="241300"/>
  <slicer name="Year" xr10:uid="{1EC7C7DB-D8B8-4A64-A3C0-C4D6D68F68BE}" cache="Slicer_Year" caption="Year"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RTU 1" xr10:uid="{000D51BC-E396-4656-9B94-6D5EBE25836A}" cache="Slicer_SRTU" caption="SRTU" startItem="28" columnCount="4" style="SlicerStyleDark1" rowHeight="241300"/>
  <slicer name="Year 1" xr10:uid="{8D8BA47E-A932-4750-886B-A4D5F835DC11}" cache="Slicer_Year" caption="Year" columnCount="4" style="SlicerStyleDark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10.xml"/><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C36A2-B663-4C59-BB5B-CCE75CDBBA9D}">
  <sheetPr codeName="Sheet1"/>
  <dimension ref="A1:L568"/>
  <sheetViews>
    <sheetView workbookViewId="0"/>
  </sheetViews>
  <sheetFormatPr defaultColWidth="19.36328125" defaultRowHeight="14.5" x14ac:dyDescent="0.35"/>
  <cols>
    <col min="8" max="8" width="25.36328125" customWidth="1"/>
  </cols>
  <sheetData>
    <row r="1" spans="1:12" x14ac:dyDescent="0.35">
      <c r="A1" t="s">
        <v>0</v>
      </c>
      <c r="B1" t="s">
        <v>1</v>
      </c>
      <c r="C1" t="s">
        <v>2</v>
      </c>
      <c r="D1" t="s">
        <v>3</v>
      </c>
      <c r="E1" t="s">
        <v>4</v>
      </c>
      <c r="F1" t="s">
        <v>5</v>
      </c>
      <c r="G1" t="s">
        <v>6</v>
      </c>
      <c r="H1" t="s">
        <v>7</v>
      </c>
      <c r="I1" t="s">
        <v>8</v>
      </c>
      <c r="J1" t="s">
        <v>9</v>
      </c>
      <c r="K1" t="s">
        <v>10</v>
      </c>
      <c r="L1" t="s">
        <v>11</v>
      </c>
    </row>
    <row r="2" spans="1:12" x14ac:dyDescent="0.35">
      <c r="A2" t="s">
        <v>12</v>
      </c>
      <c r="B2" t="s">
        <v>13</v>
      </c>
      <c r="C2" t="s">
        <v>14</v>
      </c>
      <c r="D2">
        <v>0</v>
      </c>
      <c r="K2">
        <v>2008</v>
      </c>
      <c r="L2" t="s">
        <v>15</v>
      </c>
    </row>
    <row r="3" spans="1:12" x14ac:dyDescent="0.35">
      <c r="A3" t="s">
        <v>12</v>
      </c>
      <c r="B3" t="s">
        <v>13</v>
      </c>
      <c r="C3" t="s">
        <v>16</v>
      </c>
      <c r="D3">
        <v>0</v>
      </c>
      <c r="E3">
        <v>226</v>
      </c>
      <c r="F3">
        <v>3.7</v>
      </c>
      <c r="G3">
        <v>7</v>
      </c>
      <c r="H3">
        <v>1571</v>
      </c>
      <c r="I3">
        <v>1050</v>
      </c>
      <c r="K3">
        <v>2008</v>
      </c>
      <c r="L3" t="s">
        <v>15</v>
      </c>
    </row>
    <row r="4" spans="1:12" x14ac:dyDescent="0.35">
      <c r="A4" t="s">
        <v>12</v>
      </c>
      <c r="B4" t="s">
        <v>13</v>
      </c>
      <c r="C4" t="s">
        <v>17</v>
      </c>
      <c r="D4">
        <v>7.5</v>
      </c>
      <c r="E4">
        <v>532</v>
      </c>
      <c r="F4">
        <v>4.0999999999999996</v>
      </c>
      <c r="G4">
        <v>896</v>
      </c>
      <c r="H4">
        <v>13121</v>
      </c>
      <c r="I4">
        <v>2877</v>
      </c>
      <c r="K4">
        <v>2008</v>
      </c>
      <c r="L4" t="s">
        <v>15</v>
      </c>
    </row>
    <row r="5" spans="1:12" x14ac:dyDescent="0.35">
      <c r="A5" t="s">
        <v>12</v>
      </c>
      <c r="B5" t="s">
        <v>13</v>
      </c>
      <c r="C5" t="s">
        <v>18</v>
      </c>
      <c r="D5">
        <v>8</v>
      </c>
      <c r="E5">
        <v>57</v>
      </c>
      <c r="F5">
        <v>3.3</v>
      </c>
      <c r="G5">
        <v>1</v>
      </c>
      <c r="H5">
        <v>184</v>
      </c>
      <c r="I5">
        <v>680</v>
      </c>
      <c r="K5">
        <v>2008</v>
      </c>
      <c r="L5" t="s">
        <v>15</v>
      </c>
    </row>
    <row r="6" spans="1:12" x14ac:dyDescent="0.35">
      <c r="A6" t="s">
        <v>12</v>
      </c>
      <c r="B6" t="s">
        <v>13</v>
      </c>
      <c r="C6" t="s">
        <v>19</v>
      </c>
      <c r="D6">
        <v>6.4</v>
      </c>
      <c r="E6">
        <v>3260</v>
      </c>
      <c r="F6">
        <v>4.2</v>
      </c>
      <c r="G6">
        <v>17432</v>
      </c>
      <c r="H6">
        <v>166683</v>
      </c>
      <c r="I6">
        <v>22594</v>
      </c>
      <c r="K6">
        <v>2008</v>
      </c>
      <c r="L6" t="s">
        <v>15</v>
      </c>
    </row>
    <row r="7" spans="1:12" x14ac:dyDescent="0.35">
      <c r="A7" t="s">
        <v>12</v>
      </c>
      <c r="B7" t="s">
        <v>13</v>
      </c>
      <c r="C7" t="s">
        <v>20</v>
      </c>
      <c r="D7">
        <v>0</v>
      </c>
      <c r="E7">
        <v>62</v>
      </c>
      <c r="F7">
        <v>4.2</v>
      </c>
      <c r="G7">
        <v>4</v>
      </c>
      <c r="H7">
        <v>610</v>
      </c>
      <c r="I7">
        <v>360</v>
      </c>
      <c r="K7">
        <v>2008</v>
      </c>
      <c r="L7" t="s">
        <v>15</v>
      </c>
    </row>
    <row r="8" spans="1:12" x14ac:dyDescent="0.35">
      <c r="A8" t="s">
        <v>12</v>
      </c>
      <c r="B8" t="s">
        <v>13</v>
      </c>
      <c r="C8" t="s">
        <v>21</v>
      </c>
      <c r="D8">
        <v>5</v>
      </c>
      <c r="E8">
        <v>998</v>
      </c>
      <c r="F8">
        <v>4.9000000000000004</v>
      </c>
      <c r="G8">
        <v>290</v>
      </c>
      <c r="H8">
        <v>64488</v>
      </c>
      <c r="I8">
        <v>7591</v>
      </c>
      <c r="K8">
        <v>2008</v>
      </c>
      <c r="L8" t="s">
        <v>15</v>
      </c>
    </row>
    <row r="9" spans="1:12" x14ac:dyDescent="0.35">
      <c r="A9" t="s">
        <v>12</v>
      </c>
      <c r="B9" t="s">
        <v>13</v>
      </c>
      <c r="C9" t="s">
        <v>22</v>
      </c>
      <c r="D9">
        <v>5.9</v>
      </c>
      <c r="E9">
        <v>15695</v>
      </c>
      <c r="F9">
        <v>4.9000000000000004</v>
      </c>
      <c r="G9">
        <v>23990</v>
      </c>
      <c r="H9">
        <v>531887</v>
      </c>
      <c r="I9">
        <v>97943</v>
      </c>
      <c r="K9">
        <v>2008</v>
      </c>
      <c r="L9" t="s">
        <v>15</v>
      </c>
    </row>
    <row r="10" spans="1:12" x14ac:dyDescent="0.35">
      <c r="A10" t="s">
        <v>12</v>
      </c>
      <c r="B10" t="s">
        <v>13</v>
      </c>
      <c r="C10" t="s">
        <v>23</v>
      </c>
      <c r="K10">
        <v>2008</v>
      </c>
      <c r="L10" t="s">
        <v>15</v>
      </c>
    </row>
    <row r="11" spans="1:12" x14ac:dyDescent="0.35">
      <c r="A11" t="s">
        <v>12</v>
      </c>
      <c r="B11" t="s">
        <v>13</v>
      </c>
      <c r="C11" t="s">
        <v>24</v>
      </c>
      <c r="D11">
        <v>4.5</v>
      </c>
      <c r="E11">
        <v>6787</v>
      </c>
      <c r="F11">
        <v>4.9000000000000004</v>
      </c>
      <c r="G11">
        <v>8116</v>
      </c>
      <c r="H11">
        <v>297991</v>
      </c>
      <c r="I11">
        <v>32100</v>
      </c>
      <c r="K11">
        <v>2008</v>
      </c>
      <c r="L11" t="s">
        <v>15</v>
      </c>
    </row>
    <row r="12" spans="1:12" x14ac:dyDescent="0.35">
      <c r="A12" t="s">
        <v>12</v>
      </c>
      <c r="B12" t="s">
        <v>13</v>
      </c>
      <c r="C12" t="s">
        <v>25</v>
      </c>
      <c r="D12">
        <v>5</v>
      </c>
      <c r="E12">
        <v>2876</v>
      </c>
      <c r="F12">
        <v>5</v>
      </c>
      <c r="G12">
        <v>11302</v>
      </c>
      <c r="H12">
        <v>226758</v>
      </c>
      <c r="I12">
        <v>17903</v>
      </c>
      <c r="K12">
        <v>2008</v>
      </c>
      <c r="L12" t="s">
        <v>15</v>
      </c>
    </row>
    <row r="13" spans="1:12" x14ac:dyDescent="0.35">
      <c r="A13" t="s">
        <v>12</v>
      </c>
      <c r="B13" t="s">
        <v>13</v>
      </c>
      <c r="C13" t="s">
        <v>26</v>
      </c>
      <c r="D13">
        <v>6.6</v>
      </c>
      <c r="E13">
        <v>398</v>
      </c>
      <c r="F13">
        <v>4.4000000000000004</v>
      </c>
      <c r="G13">
        <v>284</v>
      </c>
      <c r="I13">
        <v>1904</v>
      </c>
      <c r="K13">
        <v>2008</v>
      </c>
      <c r="L13" t="s">
        <v>15</v>
      </c>
    </row>
    <row r="14" spans="1:12" x14ac:dyDescent="0.35">
      <c r="A14" t="s">
        <v>12</v>
      </c>
      <c r="B14" t="s">
        <v>13</v>
      </c>
      <c r="C14" t="s">
        <v>27</v>
      </c>
      <c r="K14">
        <v>2008</v>
      </c>
      <c r="L14" t="s">
        <v>15</v>
      </c>
    </row>
    <row r="15" spans="1:12" x14ac:dyDescent="0.35">
      <c r="A15" t="s">
        <v>12</v>
      </c>
      <c r="B15" t="s">
        <v>13</v>
      </c>
      <c r="C15" t="s">
        <v>28</v>
      </c>
      <c r="E15">
        <v>1725</v>
      </c>
      <c r="F15">
        <v>3.7</v>
      </c>
      <c r="I15">
        <v>8746</v>
      </c>
      <c r="K15">
        <v>2008</v>
      </c>
      <c r="L15" t="s">
        <v>15</v>
      </c>
    </row>
    <row r="16" spans="1:12" x14ac:dyDescent="0.35">
      <c r="A16" t="s">
        <v>12</v>
      </c>
      <c r="B16" t="s">
        <v>13</v>
      </c>
      <c r="C16" t="s">
        <v>29</v>
      </c>
      <c r="D16">
        <v>5.5</v>
      </c>
      <c r="E16">
        <v>3399</v>
      </c>
      <c r="F16">
        <v>5.5</v>
      </c>
      <c r="G16">
        <v>11432</v>
      </c>
      <c r="H16">
        <v>275786</v>
      </c>
      <c r="I16">
        <v>22669</v>
      </c>
      <c r="K16">
        <v>2008</v>
      </c>
      <c r="L16" t="s">
        <v>15</v>
      </c>
    </row>
    <row r="17" spans="1:12" x14ac:dyDescent="0.35">
      <c r="A17" t="s">
        <v>12</v>
      </c>
      <c r="B17" t="s">
        <v>13</v>
      </c>
      <c r="C17" t="s">
        <v>30</v>
      </c>
      <c r="D17">
        <v>4</v>
      </c>
      <c r="E17">
        <v>3299</v>
      </c>
      <c r="F17">
        <v>4.9000000000000004</v>
      </c>
      <c r="G17">
        <v>3935</v>
      </c>
      <c r="H17">
        <v>143301</v>
      </c>
      <c r="I17">
        <v>18321</v>
      </c>
      <c r="K17">
        <v>2008</v>
      </c>
      <c r="L17" t="s">
        <v>15</v>
      </c>
    </row>
    <row r="18" spans="1:12" x14ac:dyDescent="0.35">
      <c r="A18" t="s">
        <v>12</v>
      </c>
      <c r="B18" t="s">
        <v>13</v>
      </c>
      <c r="C18" t="s">
        <v>31</v>
      </c>
      <c r="D18">
        <v>7.1</v>
      </c>
      <c r="E18">
        <v>9082</v>
      </c>
      <c r="F18">
        <v>5.5</v>
      </c>
      <c r="G18">
        <v>8749</v>
      </c>
      <c r="H18">
        <v>334298</v>
      </c>
      <c r="I18">
        <v>41667</v>
      </c>
      <c r="K18">
        <v>2008</v>
      </c>
      <c r="L18" t="s">
        <v>15</v>
      </c>
    </row>
    <row r="19" spans="1:12" x14ac:dyDescent="0.35">
      <c r="A19" t="s">
        <v>12</v>
      </c>
      <c r="B19" t="s">
        <v>13</v>
      </c>
      <c r="C19" t="s">
        <v>32</v>
      </c>
      <c r="D19">
        <v>3.1</v>
      </c>
      <c r="E19">
        <v>3805</v>
      </c>
      <c r="F19">
        <v>4</v>
      </c>
      <c r="G19">
        <v>8254</v>
      </c>
      <c r="H19">
        <v>83987</v>
      </c>
      <c r="I19">
        <v>28551</v>
      </c>
      <c r="K19">
        <v>2008</v>
      </c>
      <c r="L19" t="s">
        <v>15</v>
      </c>
    </row>
    <row r="20" spans="1:12" x14ac:dyDescent="0.35">
      <c r="A20" t="s">
        <v>12</v>
      </c>
      <c r="B20" t="s">
        <v>13</v>
      </c>
      <c r="C20" t="s">
        <v>33</v>
      </c>
      <c r="D20">
        <v>5</v>
      </c>
      <c r="E20">
        <v>406</v>
      </c>
      <c r="F20">
        <v>4.0999999999999996</v>
      </c>
      <c r="G20">
        <v>773</v>
      </c>
      <c r="H20">
        <v>21822</v>
      </c>
      <c r="I20">
        <v>2172</v>
      </c>
      <c r="K20">
        <v>2008</v>
      </c>
      <c r="L20" t="s">
        <v>15</v>
      </c>
    </row>
    <row r="21" spans="1:12" x14ac:dyDescent="0.35">
      <c r="A21" t="s">
        <v>12</v>
      </c>
      <c r="B21" t="s">
        <v>13</v>
      </c>
      <c r="C21" t="s">
        <v>34</v>
      </c>
      <c r="D21">
        <v>6</v>
      </c>
      <c r="E21">
        <v>3941</v>
      </c>
      <c r="F21">
        <v>5.2</v>
      </c>
      <c r="G21">
        <v>15279</v>
      </c>
      <c r="H21">
        <v>330468</v>
      </c>
      <c r="I21">
        <v>24404</v>
      </c>
      <c r="K21">
        <v>2008</v>
      </c>
      <c r="L21" t="s">
        <v>15</v>
      </c>
    </row>
    <row r="22" spans="1:12" x14ac:dyDescent="0.35">
      <c r="A22" t="s">
        <v>12</v>
      </c>
      <c r="B22" t="s">
        <v>13</v>
      </c>
      <c r="C22" t="s">
        <v>35</v>
      </c>
      <c r="D22">
        <v>6.6</v>
      </c>
      <c r="E22">
        <v>1029</v>
      </c>
      <c r="F22">
        <v>3.6</v>
      </c>
      <c r="G22">
        <v>1736</v>
      </c>
      <c r="H22">
        <v>16830</v>
      </c>
      <c r="I22">
        <v>6710</v>
      </c>
      <c r="K22">
        <v>2008</v>
      </c>
      <c r="L22" t="s">
        <v>15</v>
      </c>
    </row>
    <row r="23" spans="1:12" x14ac:dyDescent="0.35">
      <c r="A23" t="s">
        <v>12</v>
      </c>
      <c r="B23" t="s">
        <v>13</v>
      </c>
      <c r="C23" t="s">
        <v>36</v>
      </c>
      <c r="D23">
        <v>7</v>
      </c>
      <c r="E23">
        <v>612</v>
      </c>
      <c r="F23">
        <v>3.9</v>
      </c>
      <c r="G23">
        <v>67</v>
      </c>
      <c r="H23">
        <v>6078</v>
      </c>
      <c r="I23">
        <v>2307</v>
      </c>
      <c r="K23">
        <v>2008</v>
      </c>
      <c r="L23" t="s">
        <v>15</v>
      </c>
    </row>
    <row r="24" spans="1:12" x14ac:dyDescent="0.35">
      <c r="A24" t="s">
        <v>12</v>
      </c>
      <c r="B24" t="s">
        <v>13</v>
      </c>
      <c r="C24" t="s">
        <v>37</v>
      </c>
      <c r="D24">
        <v>4.2</v>
      </c>
      <c r="E24">
        <v>5155</v>
      </c>
      <c r="F24">
        <v>4.4000000000000004</v>
      </c>
      <c r="G24">
        <v>14085</v>
      </c>
      <c r="H24">
        <v>171534</v>
      </c>
      <c r="I24">
        <v>27648</v>
      </c>
      <c r="K24">
        <v>2008</v>
      </c>
      <c r="L24" t="s">
        <v>15</v>
      </c>
    </row>
    <row r="25" spans="1:12" x14ac:dyDescent="0.35">
      <c r="A25" t="s">
        <v>12</v>
      </c>
      <c r="B25" t="s">
        <v>13</v>
      </c>
      <c r="C25" t="s">
        <v>38</v>
      </c>
      <c r="D25">
        <v>4.5</v>
      </c>
      <c r="E25">
        <v>1941</v>
      </c>
      <c r="F25">
        <v>5.4</v>
      </c>
      <c r="G25">
        <v>6464</v>
      </c>
      <c r="H25">
        <v>161250</v>
      </c>
      <c r="I25">
        <v>12146</v>
      </c>
      <c r="K25">
        <v>2008</v>
      </c>
      <c r="L25" t="s">
        <v>15</v>
      </c>
    </row>
    <row r="26" spans="1:12" x14ac:dyDescent="0.35">
      <c r="A26" t="s">
        <v>12</v>
      </c>
      <c r="B26" t="s">
        <v>13</v>
      </c>
      <c r="C26" t="s">
        <v>39</v>
      </c>
      <c r="D26">
        <v>5.5</v>
      </c>
      <c r="E26">
        <v>3867</v>
      </c>
      <c r="F26">
        <v>3</v>
      </c>
      <c r="G26">
        <v>15986</v>
      </c>
      <c r="H26">
        <v>123309</v>
      </c>
      <c r="I26">
        <v>30924</v>
      </c>
      <c r="K26">
        <v>2008</v>
      </c>
      <c r="L26" t="s">
        <v>15</v>
      </c>
    </row>
    <row r="27" spans="1:12" x14ac:dyDescent="0.35">
      <c r="A27" t="s">
        <v>12</v>
      </c>
      <c r="B27" t="s">
        <v>13</v>
      </c>
      <c r="C27" t="s">
        <v>40</v>
      </c>
      <c r="K27">
        <v>2008</v>
      </c>
      <c r="L27" t="s">
        <v>15</v>
      </c>
    </row>
    <row r="28" spans="1:12" x14ac:dyDescent="0.35">
      <c r="A28" t="s">
        <v>12</v>
      </c>
      <c r="B28" t="s">
        <v>13</v>
      </c>
      <c r="C28" t="s">
        <v>41</v>
      </c>
      <c r="K28">
        <v>2008</v>
      </c>
      <c r="L28" t="s">
        <v>15</v>
      </c>
    </row>
    <row r="29" spans="1:12" x14ac:dyDescent="0.35">
      <c r="A29" t="s">
        <v>12</v>
      </c>
      <c r="B29" t="s">
        <v>13</v>
      </c>
      <c r="C29" t="s">
        <v>42</v>
      </c>
      <c r="E29">
        <v>3215</v>
      </c>
      <c r="F29">
        <v>5.4</v>
      </c>
      <c r="G29">
        <v>9685</v>
      </c>
      <c r="H29">
        <v>302017</v>
      </c>
      <c r="I29">
        <v>20545</v>
      </c>
      <c r="K29">
        <v>2008</v>
      </c>
      <c r="L29" t="s">
        <v>15</v>
      </c>
    </row>
    <row r="30" spans="1:12" x14ac:dyDescent="0.35">
      <c r="A30" t="s">
        <v>12</v>
      </c>
      <c r="B30" t="s">
        <v>13</v>
      </c>
      <c r="C30" t="s">
        <v>43</v>
      </c>
      <c r="E30">
        <v>19199</v>
      </c>
      <c r="F30">
        <v>5.3</v>
      </c>
      <c r="G30">
        <v>51107</v>
      </c>
      <c r="H30">
        <v>194311</v>
      </c>
      <c r="I30">
        <v>113370</v>
      </c>
      <c r="K30">
        <v>2008</v>
      </c>
      <c r="L30" t="s">
        <v>15</v>
      </c>
    </row>
    <row r="31" spans="1:12" x14ac:dyDescent="0.35">
      <c r="A31" t="s">
        <v>12</v>
      </c>
      <c r="B31" t="s">
        <v>13</v>
      </c>
      <c r="C31" t="s">
        <v>44</v>
      </c>
      <c r="D31">
        <v>11</v>
      </c>
      <c r="E31">
        <v>953</v>
      </c>
      <c r="F31">
        <v>3.5</v>
      </c>
      <c r="G31">
        <v>3088</v>
      </c>
      <c r="H31">
        <v>21483</v>
      </c>
      <c r="I31">
        <v>5727</v>
      </c>
      <c r="K31">
        <v>2008</v>
      </c>
      <c r="L31" t="s">
        <v>15</v>
      </c>
    </row>
    <row r="32" spans="1:12" x14ac:dyDescent="0.35">
      <c r="A32" t="s">
        <v>12</v>
      </c>
      <c r="B32" t="s">
        <v>13</v>
      </c>
      <c r="C32" t="s">
        <v>45</v>
      </c>
      <c r="D32">
        <v>8.5</v>
      </c>
      <c r="E32">
        <v>1426</v>
      </c>
      <c r="F32">
        <v>3.5</v>
      </c>
      <c r="G32">
        <v>3545</v>
      </c>
      <c r="H32">
        <v>31743</v>
      </c>
      <c r="I32">
        <v>10042</v>
      </c>
      <c r="K32">
        <v>2008</v>
      </c>
      <c r="L32" t="s">
        <v>15</v>
      </c>
    </row>
    <row r="33" spans="1:12" x14ac:dyDescent="0.35">
      <c r="A33" t="s">
        <v>12</v>
      </c>
      <c r="B33" t="s">
        <v>13</v>
      </c>
      <c r="C33" t="s">
        <v>46</v>
      </c>
      <c r="E33">
        <v>93</v>
      </c>
      <c r="G33">
        <v>14</v>
      </c>
      <c r="H33">
        <v>693</v>
      </c>
      <c r="K33">
        <v>2008</v>
      </c>
      <c r="L33" t="s">
        <v>15</v>
      </c>
    </row>
    <row r="34" spans="1:12" x14ac:dyDescent="0.35">
      <c r="A34" t="s">
        <v>12</v>
      </c>
      <c r="B34" t="s">
        <v>13</v>
      </c>
      <c r="C34" t="s">
        <v>47</v>
      </c>
      <c r="E34">
        <v>7710</v>
      </c>
      <c r="F34">
        <v>5.3</v>
      </c>
      <c r="G34">
        <v>4665</v>
      </c>
      <c r="H34">
        <v>307946</v>
      </c>
      <c r="I34">
        <v>34246</v>
      </c>
      <c r="K34">
        <v>2008</v>
      </c>
      <c r="L34" t="s">
        <v>15</v>
      </c>
    </row>
    <row r="35" spans="1:12" x14ac:dyDescent="0.35">
      <c r="A35" t="s">
        <v>12</v>
      </c>
      <c r="B35" t="s">
        <v>13</v>
      </c>
      <c r="C35" t="s">
        <v>48</v>
      </c>
      <c r="D35">
        <v>9</v>
      </c>
      <c r="E35">
        <v>296</v>
      </c>
      <c r="F35">
        <v>4.4000000000000004</v>
      </c>
      <c r="G35">
        <v>57</v>
      </c>
      <c r="H35">
        <v>179114</v>
      </c>
      <c r="I35">
        <v>1065</v>
      </c>
      <c r="K35">
        <v>2008</v>
      </c>
      <c r="L35" t="s">
        <v>15</v>
      </c>
    </row>
    <row r="36" spans="1:12" x14ac:dyDescent="0.35">
      <c r="A36" t="s">
        <v>12</v>
      </c>
      <c r="B36" t="s">
        <v>13</v>
      </c>
      <c r="C36" t="s">
        <v>49</v>
      </c>
      <c r="D36">
        <v>5.9</v>
      </c>
      <c r="E36">
        <v>4793</v>
      </c>
      <c r="F36">
        <v>5.0999999999999996</v>
      </c>
      <c r="G36">
        <v>7665</v>
      </c>
      <c r="H36">
        <v>99280</v>
      </c>
      <c r="I36">
        <v>25309</v>
      </c>
      <c r="K36">
        <v>2008</v>
      </c>
      <c r="L36" t="s">
        <v>15</v>
      </c>
    </row>
    <row r="37" spans="1:12" x14ac:dyDescent="0.35">
      <c r="A37" t="s">
        <v>12</v>
      </c>
      <c r="B37" t="s">
        <v>13</v>
      </c>
      <c r="C37" t="s">
        <v>50</v>
      </c>
      <c r="D37">
        <v>5.2</v>
      </c>
      <c r="E37">
        <v>2830</v>
      </c>
      <c r="F37">
        <v>5.3</v>
      </c>
      <c r="G37">
        <v>3610</v>
      </c>
      <c r="H37">
        <v>14359</v>
      </c>
      <c r="I37">
        <v>13793</v>
      </c>
      <c r="K37">
        <v>2008</v>
      </c>
      <c r="L37" t="s">
        <v>15</v>
      </c>
    </row>
    <row r="38" spans="1:12" x14ac:dyDescent="0.35">
      <c r="A38" t="s">
        <v>12</v>
      </c>
      <c r="B38" t="s">
        <v>13</v>
      </c>
      <c r="C38" t="s">
        <v>51</v>
      </c>
      <c r="D38">
        <v>4.9000000000000004</v>
      </c>
      <c r="E38">
        <v>4537</v>
      </c>
      <c r="F38">
        <v>5</v>
      </c>
      <c r="G38">
        <v>3699</v>
      </c>
      <c r="H38">
        <v>215709</v>
      </c>
      <c r="I38">
        <v>20615</v>
      </c>
      <c r="K38">
        <v>2008</v>
      </c>
      <c r="L38" t="s">
        <v>15</v>
      </c>
    </row>
    <row r="39" spans="1:12" x14ac:dyDescent="0.35">
      <c r="A39" t="s">
        <v>12</v>
      </c>
      <c r="B39" t="s">
        <v>13</v>
      </c>
      <c r="C39" t="s">
        <v>52</v>
      </c>
      <c r="D39">
        <v>7</v>
      </c>
      <c r="E39">
        <v>791</v>
      </c>
      <c r="F39">
        <v>4</v>
      </c>
      <c r="G39">
        <v>1032</v>
      </c>
      <c r="H39">
        <v>1571</v>
      </c>
      <c r="I39">
        <v>4563</v>
      </c>
      <c r="K39">
        <v>2008</v>
      </c>
      <c r="L39" t="s">
        <v>15</v>
      </c>
    </row>
    <row r="40" spans="1:12" x14ac:dyDescent="0.35">
      <c r="A40" t="s">
        <v>12</v>
      </c>
      <c r="B40" t="s">
        <v>53</v>
      </c>
      <c r="C40" t="s">
        <v>29</v>
      </c>
      <c r="D40">
        <v>5.5</v>
      </c>
      <c r="E40">
        <v>3541</v>
      </c>
      <c r="F40">
        <v>5</v>
      </c>
      <c r="G40">
        <v>11873</v>
      </c>
      <c r="H40">
        <v>289783</v>
      </c>
      <c r="I40">
        <v>22921</v>
      </c>
      <c r="K40">
        <v>2009</v>
      </c>
      <c r="L40" t="s">
        <v>54</v>
      </c>
    </row>
    <row r="41" spans="1:12" x14ac:dyDescent="0.35">
      <c r="A41" t="s">
        <v>12</v>
      </c>
      <c r="B41" t="s">
        <v>53</v>
      </c>
      <c r="C41" t="s">
        <v>34</v>
      </c>
      <c r="D41">
        <v>5</v>
      </c>
      <c r="E41">
        <v>4053</v>
      </c>
      <c r="F41">
        <v>5.5</v>
      </c>
      <c r="G41">
        <v>15605</v>
      </c>
      <c r="H41">
        <v>367047</v>
      </c>
      <c r="I41">
        <v>25358</v>
      </c>
      <c r="K41">
        <v>2009</v>
      </c>
      <c r="L41" t="s">
        <v>54</v>
      </c>
    </row>
    <row r="42" spans="1:12" x14ac:dyDescent="0.35">
      <c r="A42" t="s">
        <v>12</v>
      </c>
      <c r="B42" t="s">
        <v>53</v>
      </c>
      <c r="C42" t="s">
        <v>38</v>
      </c>
      <c r="D42">
        <v>5.7</v>
      </c>
      <c r="E42">
        <v>2055</v>
      </c>
      <c r="F42">
        <v>5.4</v>
      </c>
      <c r="G42">
        <v>6680</v>
      </c>
      <c r="H42">
        <v>171109</v>
      </c>
      <c r="I42">
        <v>12724</v>
      </c>
      <c r="K42">
        <v>2009</v>
      </c>
      <c r="L42" t="s">
        <v>54</v>
      </c>
    </row>
    <row r="43" spans="1:12" x14ac:dyDescent="0.35">
      <c r="A43" t="s">
        <v>12</v>
      </c>
      <c r="B43" t="s">
        <v>53</v>
      </c>
      <c r="C43" t="s">
        <v>42</v>
      </c>
      <c r="D43">
        <v>3.8</v>
      </c>
      <c r="E43">
        <v>3237</v>
      </c>
      <c r="F43">
        <v>5.4</v>
      </c>
      <c r="G43">
        <v>10330</v>
      </c>
      <c r="H43">
        <v>306638</v>
      </c>
      <c r="I43">
        <v>21118</v>
      </c>
      <c r="K43">
        <v>2009</v>
      </c>
      <c r="L43" t="s">
        <v>54</v>
      </c>
    </row>
    <row r="44" spans="1:12" x14ac:dyDescent="0.35">
      <c r="A44" t="s">
        <v>12</v>
      </c>
      <c r="B44" t="s">
        <v>53</v>
      </c>
      <c r="C44" t="s">
        <v>46</v>
      </c>
      <c r="D44">
        <v>4.5</v>
      </c>
      <c r="E44">
        <v>39</v>
      </c>
      <c r="F44">
        <v>5.5</v>
      </c>
      <c r="G44">
        <v>12</v>
      </c>
      <c r="H44">
        <v>606</v>
      </c>
      <c r="I44">
        <v>506</v>
      </c>
      <c r="K44">
        <v>2009</v>
      </c>
      <c r="L44" t="s">
        <v>54</v>
      </c>
    </row>
    <row r="45" spans="1:12" x14ac:dyDescent="0.35">
      <c r="A45" t="s">
        <v>12</v>
      </c>
      <c r="B45" t="s">
        <v>53</v>
      </c>
      <c r="C45" t="s">
        <v>55</v>
      </c>
      <c r="K45">
        <v>2009</v>
      </c>
      <c r="L45" t="s">
        <v>54</v>
      </c>
    </row>
    <row r="46" spans="1:12" x14ac:dyDescent="0.35">
      <c r="A46" t="s">
        <v>12</v>
      </c>
      <c r="B46" t="s">
        <v>53</v>
      </c>
      <c r="C46" t="s">
        <v>47</v>
      </c>
      <c r="E46">
        <v>8349</v>
      </c>
      <c r="F46">
        <v>5.3</v>
      </c>
      <c r="G46">
        <v>4775</v>
      </c>
      <c r="H46">
        <v>337434</v>
      </c>
      <c r="I46">
        <v>33109</v>
      </c>
      <c r="K46">
        <v>2009</v>
      </c>
      <c r="L46" t="s">
        <v>54</v>
      </c>
    </row>
    <row r="47" spans="1:12" x14ac:dyDescent="0.35">
      <c r="A47" t="s">
        <v>12</v>
      </c>
      <c r="B47" t="s">
        <v>53</v>
      </c>
      <c r="C47" t="s">
        <v>44</v>
      </c>
      <c r="D47">
        <v>7.4</v>
      </c>
      <c r="E47">
        <v>966</v>
      </c>
      <c r="F47">
        <v>3.5</v>
      </c>
      <c r="G47">
        <v>2986</v>
      </c>
      <c r="H47">
        <v>21150</v>
      </c>
      <c r="I47">
        <v>5592</v>
      </c>
      <c r="K47">
        <v>2009</v>
      </c>
      <c r="L47" t="s">
        <v>54</v>
      </c>
    </row>
    <row r="48" spans="1:12" x14ac:dyDescent="0.35">
      <c r="A48" t="s">
        <v>12</v>
      </c>
      <c r="B48" t="s">
        <v>53</v>
      </c>
      <c r="C48" t="s">
        <v>43</v>
      </c>
      <c r="E48">
        <v>21255</v>
      </c>
      <c r="F48">
        <v>5.3</v>
      </c>
      <c r="G48">
        <v>48934</v>
      </c>
      <c r="H48">
        <v>974778</v>
      </c>
      <c r="I48">
        <v>115898</v>
      </c>
      <c r="K48">
        <v>2009</v>
      </c>
      <c r="L48" t="s">
        <v>54</v>
      </c>
    </row>
    <row r="49" spans="1:12" x14ac:dyDescent="0.35">
      <c r="A49" t="s">
        <v>12</v>
      </c>
      <c r="B49" t="s">
        <v>53</v>
      </c>
      <c r="C49" t="s">
        <v>41</v>
      </c>
      <c r="K49">
        <v>2009</v>
      </c>
      <c r="L49" t="s">
        <v>54</v>
      </c>
    </row>
    <row r="50" spans="1:12" x14ac:dyDescent="0.35">
      <c r="A50" t="s">
        <v>12</v>
      </c>
      <c r="B50" t="s">
        <v>53</v>
      </c>
      <c r="C50" t="s">
        <v>56</v>
      </c>
      <c r="K50">
        <v>2009</v>
      </c>
      <c r="L50" t="s">
        <v>54</v>
      </c>
    </row>
    <row r="51" spans="1:12" x14ac:dyDescent="0.35">
      <c r="A51" t="s">
        <v>12</v>
      </c>
      <c r="B51" t="s">
        <v>53</v>
      </c>
      <c r="C51" t="s">
        <v>39</v>
      </c>
      <c r="D51">
        <v>5.5</v>
      </c>
      <c r="E51">
        <v>4078</v>
      </c>
      <c r="F51">
        <v>2.9</v>
      </c>
      <c r="G51">
        <v>15953</v>
      </c>
      <c r="H51">
        <v>127566</v>
      </c>
      <c r="I51">
        <v>29494</v>
      </c>
      <c r="K51">
        <v>2009</v>
      </c>
      <c r="L51" t="s">
        <v>54</v>
      </c>
    </row>
    <row r="52" spans="1:12" x14ac:dyDescent="0.35">
      <c r="A52" t="s">
        <v>12</v>
      </c>
      <c r="B52" t="s">
        <v>53</v>
      </c>
      <c r="C52" t="s">
        <v>37</v>
      </c>
      <c r="D52">
        <v>3.9</v>
      </c>
      <c r="E52">
        <v>5715</v>
      </c>
      <c r="F52">
        <v>4.0999999999999996</v>
      </c>
      <c r="G52">
        <v>14708</v>
      </c>
      <c r="H52">
        <v>182917</v>
      </c>
      <c r="I52">
        <v>30996</v>
      </c>
      <c r="K52">
        <v>2009</v>
      </c>
      <c r="L52" t="s">
        <v>54</v>
      </c>
    </row>
    <row r="53" spans="1:12" x14ac:dyDescent="0.35">
      <c r="A53" t="s">
        <v>12</v>
      </c>
      <c r="B53" t="s">
        <v>53</v>
      </c>
      <c r="C53" t="s">
        <v>36</v>
      </c>
      <c r="D53">
        <v>6.8</v>
      </c>
      <c r="E53">
        <v>424</v>
      </c>
      <c r="F53">
        <v>4</v>
      </c>
      <c r="G53">
        <v>47</v>
      </c>
      <c r="H53">
        <v>3825</v>
      </c>
      <c r="I53">
        <v>2036</v>
      </c>
      <c r="K53">
        <v>2009</v>
      </c>
      <c r="L53" t="s">
        <v>54</v>
      </c>
    </row>
    <row r="54" spans="1:12" x14ac:dyDescent="0.35">
      <c r="A54" t="s">
        <v>12</v>
      </c>
      <c r="B54" t="s">
        <v>53</v>
      </c>
      <c r="C54" t="s">
        <v>35</v>
      </c>
      <c r="D54">
        <v>6.1</v>
      </c>
      <c r="E54">
        <v>977</v>
      </c>
      <c r="F54">
        <v>3.5</v>
      </c>
      <c r="G54">
        <v>1854</v>
      </c>
      <c r="H54">
        <v>19128</v>
      </c>
      <c r="I54">
        <v>6719</v>
      </c>
      <c r="K54">
        <v>2009</v>
      </c>
      <c r="L54" t="s">
        <v>54</v>
      </c>
    </row>
    <row r="55" spans="1:12" x14ac:dyDescent="0.35">
      <c r="A55" t="s">
        <v>12</v>
      </c>
      <c r="B55" t="s">
        <v>53</v>
      </c>
      <c r="C55" t="s">
        <v>33</v>
      </c>
      <c r="D55">
        <v>3</v>
      </c>
      <c r="E55">
        <v>409</v>
      </c>
      <c r="F55">
        <v>4</v>
      </c>
      <c r="G55">
        <v>671</v>
      </c>
      <c r="H55">
        <v>18819</v>
      </c>
      <c r="I55">
        <v>2096</v>
      </c>
      <c r="K55">
        <v>2009</v>
      </c>
      <c r="L55" t="s">
        <v>54</v>
      </c>
    </row>
    <row r="56" spans="1:12" x14ac:dyDescent="0.35">
      <c r="A56" t="s">
        <v>12</v>
      </c>
      <c r="B56" t="s">
        <v>53</v>
      </c>
      <c r="C56" t="s">
        <v>32</v>
      </c>
      <c r="D56">
        <v>5.7</v>
      </c>
      <c r="E56">
        <v>3841</v>
      </c>
      <c r="F56">
        <v>4.2</v>
      </c>
      <c r="G56">
        <v>8817</v>
      </c>
      <c r="H56">
        <v>95069</v>
      </c>
      <c r="I56">
        <v>29180</v>
      </c>
      <c r="K56">
        <v>2009</v>
      </c>
      <c r="L56" t="s">
        <v>54</v>
      </c>
    </row>
    <row r="57" spans="1:12" x14ac:dyDescent="0.35">
      <c r="A57" t="s">
        <v>12</v>
      </c>
      <c r="B57" t="s">
        <v>53</v>
      </c>
      <c r="C57" t="s">
        <v>31</v>
      </c>
      <c r="D57">
        <v>6.9</v>
      </c>
      <c r="E57">
        <v>7643</v>
      </c>
      <c r="F57">
        <v>5.6</v>
      </c>
      <c r="G57">
        <v>8483</v>
      </c>
      <c r="H57">
        <v>330395</v>
      </c>
      <c r="I57">
        <v>40073</v>
      </c>
      <c r="K57">
        <v>2009</v>
      </c>
      <c r="L57" t="s">
        <v>54</v>
      </c>
    </row>
    <row r="58" spans="1:12" x14ac:dyDescent="0.35">
      <c r="A58" t="s">
        <v>12</v>
      </c>
      <c r="B58" t="s">
        <v>53</v>
      </c>
      <c r="C58" t="s">
        <v>30</v>
      </c>
      <c r="E58">
        <v>3203</v>
      </c>
      <c r="F58">
        <v>4.8</v>
      </c>
      <c r="G58">
        <v>4053</v>
      </c>
      <c r="H58">
        <v>143689</v>
      </c>
      <c r="I58">
        <v>17452</v>
      </c>
      <c r="K58">
        <v>2009</v>
      </c>
      <c r="L58" t="s">
        <v>54</v>
      </c>
    </row>
    <row r="59" spans="1:12" x14ac:dyDescent="0.35">
      <c r="A59" t="s">
        <v>12</v>
      </c>
      <c r="B59" t="s">
        <v>53</v>
      </c>
      <c r="C59" t="s">
        <v>28</v>
      </c>
      <c r="E59">
        <v>2026</v>
      </c>
      <c r="F59">
        <v>3.7</v>
      </c>
      <c r="I59">
        <v>9246</v>
      </c>
      <c r="K59">
        <v>2009</v>
      </c>
      <c r="L59" t="s">
        <v>54</v>
      </c>
    </row>
    <row r="60" spans="1:12" x14ac:dyDescent="0.35">
      <c r="A60" t="s">
        <v>12</v>
      </c>
      <c r="B60" t="s">
        <v>53</v>
      </c>
      <c r="C60" t="s">
        <v>27</v>
      </c>
      <c r="K60">
        <v>2009</v>
      </c>
      <c r="L60" t="s">
        <v>54</v>
      </c>
    </row>
    <row r="61" spans="1:12" x14ac:dyDescent="0.35">
      <c r="A61" t="s">
        <v>12</v>
      </c>
      <c r="B61" t="s">
        <v>53</v>
      </c>
      <c r="C61" t="s">
        <v>26</v>
      </c>
      <c r="D61">
        <v>6.3</v>
      </c>
      <c r="E61">
        <v>397</v>
      </c>
      <c r="F61">
        <v>4.5</v>
      </c>
      <c r="G61">
        <v>287</v>
      </c>
      <c r="I61">
        <v>1924</v>
      </c>
      <c r="K61">
        <v>2009</v>
      </c>
      <c r="L61" t="s">
        <v>54</v>
      </c>
    </row>
    <row r="62" spans="1:12" x14ac:dyDescent="0.35">
      <c r="A62" t="s">
        <v>12</v>
      </c>
      <c r="B62" t="s">
        <v>53</v>
      </c>
      <c r="C62" t="s">
        <v>24</v>
      </c>
      <c r="D62">
        <v>3.2</v>
      </c>
      <c r="E62">
        <v>7002</v>
      </c>
      <c r="F62">
        <v>4.8</v>
      </c>
      <c r="G62">
        <v>8634</v>
      </c>
      <c r="H62">
        <v>304596</v>
      </c>
      <c r="I62">
        <v>31995</v>
      </c>
      <c r="K62">
        <v>2009</v>
      </c>
      <c r="L62" t="s">
        <v>54</v>
      </c>
    </row>
    <row r="63" spans="1:12" x14ac:dyDescent="0.35">
      <c r="A63" t="s">
        <v>12</v>
      </c>
      <c r="B63" t="s">
        <v>53</v>
      </c>
      <c r="C63" t="s">
        <v>23</v>
      </c>
      <c r="K63">
        <v>2009</v>
      </c>
      <c r="L63" t="s">
        <v>54</v>
      </c>
    </row>
    <row r="64" spans="1:12" x14ac:dyDescent="0.35">
      <c r="A64" t="s">
        <v>12</v>
      </c>
      <c r="B64" t="s">
        <v>53</v>
      </c>
      <c r="C64" t="s">
        <v>22</v>
      </c>
      <c r="D64">
        <v>4.0999999999999996</v>
      </c>
      <c r="E64">
        <v>15955</v>
      </c>
      <c r="F64">
        <v>5</v>
      </c>
      <c r="G64">
        <v>23799</v>
      </c>
      <c r="H64">
        <v>533655</v>
      </c>
      <c r="I64">
        <v>101138</v>
      </c>
      <c r="K64">
        <v>2009</v>
      </c>
      <c r="L64" t="s">
        <v>54</v>
      </c>
    </row>
    <row r="65" spans="1:12" x14ac:dyDescent="0.35">
      <c r="A65" t="s">
        <v>12</v>
      </c>
      <c r="B65" t="s">
        <v>53</v>
      </c>
      <c r="C65" t="s">
        <v>20</v>
      </c>
      <c r="D65">
        <v>8</v>
      </c>
      <c r="E65">
        <v>62</v>
      </c>
      <c r="F65">
        <v>4.2</v>
      </c>
      <c r="G65">
        <v>6</v>
      </c>
      <c r="H65">
        <v>543</v>
      </c>
      <c r="I65">
        <v>344</v>
      </c>
      <c r="K65">
        <v>2009</v>
      </c>
      <c r="L65" t="s">
        <v>54</v>
      </c>
    </row>
    <row r="66" spans="1:12" x14ac:dyDescent="0.35">
      <c r="A66" t="s">
        <v>12</v>
      </c>
      <c r="B66" t="s">
        <v>53</v>
      </c>
      <c r="C66" t="s">
        <v>19</v>
      </c>
      <c r="D66">
        <v>2.2000000000000002</v>
      </c>
      <c r="E66">
        <v>3262</v>
      </c>
      <c r="F66">
        <v>4.5</v>
      </c>
      <c r="G66">
        <v>18998</v>
      </c>
      <c r="H66">
        <v>194688</v>
      </c>
      <c r="I66">
        <v>23000</v>
      </c>
      <c r="K66">
        <v>2009</v>
      </c>
      <c r="L66" t="s">
        <v>54</v>
      </c>
    </row>
    <row r="67" spans="1:12" x14ac:dyDescent="0.35">
      <c r="A67" t="s">
        <v>12</v>
      </c>
      <c r="B67" t="s">
        <v>53</v>
      </c>
      <c r="C67" t="s">
        <v>18</v>
      </c>
      <c r="D67">
        <v>6.3</v>
      </c>
      <c r="E67">
        <v>54</v>
      </c>
      <c r="F67">
        <v>3.3</v>
      </c>
      <c r="G67">
        <v>1</v>
      </c>
      <c r="H67">
        <v>156</v>
      </c>
      <c r="I67">
        <v>650</v>
      </c>
      <c r="K67">
        <v>2009</v>
      </c>
      <c r="L67" t="s">
        <v>54</v>
      </c>
    </row>
    <row r="68" spans="1:12" x14ac:dyDescent="0.35">
      <c r="A68" t="s">
        <v>12</v>
      </c>
      <c r="B68" t="s">
        <v>53</v>
      </c>
      <c r="C68" t="s">
        <v>16</v>
      </c>
      <c r="D68">
        <v>6.5</v>
      </c>
      <c r="E68">
        <v>216</v>
      </c>
      <c r="F68">
        <v>3.8</v>
      </c>
      <c r="G68">
        <v>15</v>
      </c>
      <c r="H68">
        <v>1538</v>
      </c>
      <c r="I68">
        <v>1050</v>
      </c>
      <c r="K68">
        <v>2009</v>
      </c>
      <c r="L68" t="s">
        <v>54</v>
      </c>
    </row>
    <row r="69" spans="1:12" x14ac:dyDescent="0.35">
      <c r="A69" t="s">
        <v>12</v>
      </c>
      <c r="B69" t="s">
        <v>53</v>
      </c>
      <c r="C69" t="s">
        <v>14</v>
      </c>
      <c r="D69">
        <v>6.6</v>
      </c>
      <c r="E69">
        <v>289</v>
      </c>
      <c r="G69">
        <v>801</v>
      </c>
      <c r="H69">
        <v>223</v>
      </c>
      <c r="I69">
        <v>1960</v>
      </c>
      <c r="K69">
        <v>2009</v>
      </c>
      <c r="L69" t="s">
        <v>54</v>
      </c>
    </row>
    <row r="70" spans="1:12" x14ac:dyDescent="0.35">
      <c r="A70" t="s">
        <v>12</v>
      </c>
      <c r="B70" t="s">
        <v>53</v>
      </c>
      <c r="C70" t="s">
        <v>52</v>
      </c>
      <c r="D70">
        <v>7.4</v>
      </c>
      <c r="E70">
        <v>802</v>
      </c>
      <c r="F70">
        <v>4.2</v>
      </c>
      <c r="G70">
        <v>805</v>
      </c>
      <c r="H70">
        <v>14760</v>
      </c>
      <c r="I70">
        <v>4273</v>
      </c>
      <c r="K70">
        <v>2009</v>
      </c>
      <c r="L70" t="s">
        <v>54</v>
      </c>
    </row>
    <row r="71" spans="1:12" x14ac:dyDescent="0.35">
      <c r="A71" t="s">
        <v>12</v>
      </c>
      <c r="B71" t="s">
        <v>53</v>
      </c>
      <c r="C71" t="s">
        <v>50</v>
      </c>
      <c r="D71">
        <v>4.5</v>
      </c>
      <c r="E71">
        <v>3686</v>
      </c>
      <c r="F71">
        <v>5.3</v>
      </c>
      <c r="G71">
        <v>4116</v>
      </c>
      <c r="H71">
        <v>131253</v>
      </c>
      <c r="I71">
        <v>18038</v>
      </c>
      <c r="K71">
        <v>2009</v>
      </c>
      <c r="L71" t="s">
        <v>54</v>
      </c>
    </row>
    <row r="72" spans="1:12" x14ac:dyDescent="0.35">
      <c r="A72" t="s">
        <v>12</v>
      </c>
      <c r="B72" t="s">
        <v>53</v>
      </c>
      <c r="C72" t="s">
        <v>49</v>
      </c>
      <c r="D72">
        <v>5.0999999999999996</v>
      </c>
      <c r="E72">
        <v>4675</v>
      </c>
      <c r="F72">
        <v>5</v>
      </c>
      <c r="G72">
        <v>6935</v>
      </c>
      <c r="H72">
        <v>168302</v>
      </c>
      <c r="I72">
        <v>21498</v>
      </c>
      <c r="K72">
        <v>2009</v>
      </c>
      <c r="L72" t="s">
        <v>54</v>
      </c>
    </row>
    <row r="73" spans="1:12" x14ac:dyDescent="0.35">
      <c r="A73" t="s">
        <v>12</v>
      </c>
      <c r="B73" t="s">
        <v>53</v>
      </c>
      <c r="C73" t="s">
        <v>48</v>
      </c>
      <c r="D73">
        <v>6.1</v>
      </c>
      <c r="E73">
        <v>321</v>
      </c>
      <c r="F73">
        <v>4.5</v>
      </c>
      <c r="G73">
        <v>52</v>
      </c>
      <c r="H73">
        <v>10821</v>
      </c>
      <c r="I73">
        <v>990</v>
      </c>
      <c r="K73">
        <v>2009</v>
      </c>
      <c r="L73" t="s">
        <v>54</v>
      </c>
    </row>
    <row r="74" spans="1:12" x14ac:dyDescent="0.35">
      <c r="A74" t="s">
        <v>12</v>
      </c>
      <c r="B74" t="s">
        <v>53</v>
      </c>
      <c r="C74" t="s">
        <v>57</v>
      </c>
      <c r="K74">
        <v>2009</v>
      </c>
      <c r="L74" t="s">
        <v>54</v>
      </c>
    </row>
    <row r="75" spans="1:12" x14ac:dyDescent="0.35">
      <c r="A75" t="s">
        <v>12</v>
      </c>
      <c r="B75" t="s">
        <v>53</v>
      </c>
      <c r="C75" t="s">
        <v>45</v>
      </c>
      <c r="D75">
        <v>5.2</v>
      </c>
      <c r="E75">
        <v>1614</v>
      </c>
      <c r="F75">
        <v>3.5</v>
      </c>
      <c r="G75">
        <v>4273</v>
      </c>
      <c r="H75">
        <v>36117</v>
      </c>
      <c r="I75">
        <v>10294</v>
      </c>
      <c r="K75">
        <v>2009</v>
      </c>
      <c r="L75" t="s">
        <v>54</v>
      </c>
    </row>
    <row r="76" spans="1:12" x14ac:dyDescent="0.35">
      <c r="A76" t="s">
        <v>12</v>
      </c>
      <c r="B76" t="s">
        <v>53</v>
      </c>
      <c r="C76" t="s">
        <v>58</v>
      </c>
      <c r="K76">
        <v>2009</v>
      </c>
      <c r="L76" t="s">
        <v>54</v>
      </c>
    </row>
    <row r="77" spans="1:12" x14ac:dyDescent="0.35">
      <c r="A77" t="s">
        <v>12</v>
      </c>
      <c r="B77" t="s">
        <v>53</v>
      </c>
      <c r="C77" t="s">
        <v>59</v>
      </c>
      <c r="K77">
        <v>2009</v>
      </c>
      <c r="L77" t="s">
        <v>54</v>
      </c>
    </row>
    <row r="78" spans="1:12" x14ac:dyDescent="0.35">
      <c r="A78" t="s">
        <v>12</v>
      </c>
      <c r="B78" t="s">
        <v>53</v>
      </c>
      <c r="C78" t="s">
        <v>51</v>
      </c>
      <c r="D78">
        <v>5.2</v>
      </c>
      <c r="E78">
        <v>4602</v>
      </c>
      <c r="F78">
        <v>5</v>
      </c>
      <c r="G78">
        <v>3784</v>
      </c>
      <c r="H78">
        <v>223273</v>
      </c>
      <c r="I78">
        <v>20389</v>
      </c>
      <c r="K78">
        <v>2009</v>
      </c>
      <c r="L78" t="s">
        <v>54</v>
      </c>
    </row>
    <row r="79" spans="1:12" x14ac:dyDescent="0.35">
      <c r="A79" t="s">
        <v>12</v>
      </c>
      <c r="B79" t="s">
        <v>53</v>
      </c>
      <c r="C79" t="s">
        <v>60</v>
      </c>
      <c r="K79">
        <v>2009</v>
      </c>
      <c r="L79" t="s">
        <v>54</v>
      </c>
    </row>
    <row r="80" spans="1:12" x14ac:dyDescent="0.35">
      <c r="A80" t="s">
        <v>12</v>
      </c>
      <c r="B80" t="s">
        <v>53</v>
      </c>
      <c r="C80" t="s">
        <v>17</v>
      </c>
      <c r="D80">
        <v>6.9</v>
      </c>
      <c r="E80">
        <v>453</v>
      </c>
      <c r="F80">
        <v>4.0999999999999996</v>
      </c>
      <c r="G80">
        <v>980</v>
      </c>
      <c r="H80">
        <v>15317</v>
      </c>
      <c r="I80">
        <v>2416</v>
      </c>
      <c r="K80">
        <v>2009</v>
      </c>
      <c r="L80" t="s">
        <v>54</v>
      </c>
    </row>
    <row r="81" spans="1:12" x14ac:dyDescent="0.35">
      <c r="A81" t="s">
        <v>12</v>
      </c>
      <c r="B81" t="s">
        <v>53</v>
      </c>
      <c r="C81" t="s">
        <v>21</v>
      </c>
      <c r="D81">
        <v>4</v>
      </c>
      <c r="E81">
        <v>1005</v>
      </c>
      <c r="F81">
        <v>5</v>
      </c>
      <c r="G81">
        <v>278</v>
      </c>
      <c r="H81">
        <v>66960</v>
      </c>
      <c r="I81">
        <v>6978</v>
      </c>
      <c r="K81">
        <v>2009</v>
      </c>
      <c r="L81" t="s">
        <v>54</v>
      </c>
    </row>
    <row r="82" spans="1:12" x14ac:dyDescent="0.35">
      <c r="A82" t="s">
        <v>12</v>
      </c>
      <c r="B82" t="s">
        <v>53</v>
      </c>
      <c r="C82" t="s">
        <v>61</v>
      </c>
      <c r="K82">
        <v>2009</v>
      </c>
      <c r="L82" t="s">
        <v>54</v>
      </c>
    </row>
    <row r="83" spans="1:12" x14ac:dyDescent="0.35">
      <c r="A83" t="s">
        <v>12</v>
      </c>
      <c r="B83" t="s">
        <v>53</v>
      </c>
      <c r="C83" t="s">
        <v>25</v>
      </c>
      <c r="D83">
        <v>9.5</v>
      </c>
      <c r="E83">
        <v>2909</v>
      </c>
      <c r="F83">
        <v>3.3</v>
      </c>
      <c r="G83">
        <v>10882</v>
      </c>
      <c r="H83">
        <v>235602</v>
      </c>
      <c r="I83">
        <v>18114</v>
      </c>
      <c r="K83">
        <v>2009</v>
      </c>
      <c r="L83" t="s">
        <v>54</v>
      </c>
    </row>
    <row r="84" spans="1:12" x14ac:dyDescent="0.35">
      <c r="A84" t="s">
        <v>12</v>
      </c>
      <c r="B84" t="s">
        <v>62</v>
      </c>
      <c r="C84" t="s">
        <v>49</v>
      </c>
      <c r="D84">
        <v>5.0999999999999996</v>
      </c>
      <c r="E84">
        <v>4259</v>
      </c>
      <c r="F84">
        <v>5</v>
      </c>
      <c r="G84">
        <v>6753</v>
      </c>
      <c r="H84">
        <v>167753</v>
      </c>
      <c r="I84">
        <v>21458</v>
      </c>
      <c r="K84">
        <v>2010</v>
      </c>
      <c r="L84" t="s">
        <v>63</v>
      </c>
    </row>
    <row r="85" spans="1:12" x14ac:dyDescent="0.35">
      <c r="A85" t="s">
        <v>12</v>
      </c>
      <c r="B85" t="s">
        <v>62</v>
      </c>
      <c r="C85" t="s">
        <v>44</v>
      </c>
      <c r="D85">
        <v>7.8</v>
      </c>
      <c r="E85">
        <v>942</v>
      </c>
      <c r="F85">
        <v>3.5</v>
      </c>
      <c r="G85">
        <v>2904</v>
      </c>
      <c r="H85">
        <v>21021</v>
      </c>
      <c r="I85">
        <v>5274</v>
      </c>
      <c r="K85">
        <v>2010</v>
      </c>
      <c r="L85" t="s">
        <v>63</v>
      </c>
    </row>
    <row r="86" spans="1:12" x14ac:dyDescent="0.35">
      <c r="A86" t="s">
        <v>12</v>
      </c>
      <c r="B86" t="s">
        <v>62</v>
      </c>
      <c r="C86" t="s">
        <v>43</v>
      </c>
      <c r="E86">
        <v>21802</v>
      </c>
      <c r="F86">
        <v>5.2</v>
      </c>
      <c r="G86">
        <v>46388</v>
      </c>
      <c r="H86">
        <v>973944</v>
      </c>
      <c r="I86">
        <v>120566</v>
      </c>
      <c r="K86">
        <v>2010</v>
      </c>
      <c r="L86" t="s">
        <v>63</v>
      </c>
    </row>
    <row r="87" spans="1:12" x14ac:dyDescent="0.35">
      <c r="A87" t="s">
        <v>12</v>
      </c>
      <c r="B87" t="s">
        <v>62</v>
      </c>
      <c r="C87" t="s">
        <v>41</v>
      </c>
      <c r="K87">
        <v>2010</v>
      </c>
      <c r="L87" t="s">
        <v>63</v>
      </c>
    </row>
    <row r="88" spans="1:12" x14ac:dyDescent="0.35">
      <c r="A88" t="s">
        <v>12</v>
      </c>
      <c r="B88" t="s">
        <v>62</v>
      </c>
      <c r="C88" t="s">
        <v>56</v>
      </c>
      <c r="K88">
        <v>2010</v>
      </c>
      <c r="L88" t="s">
        <v>63</v>
      </c>
    </row>
    <row r="89" spans="1:12" x14ac:dyDescent="0.35">
      <c r="A89" t="s">
        <v>12</v>
      </c>
      <c r="B89" t="s">
        <v>62</v>
      </c>
      <c r="C89" t="s">
        <v>39</v>
      </c>
      <c r="D89">
        <v>5.3</v>
      </c>
      <c r="E89">
        <v>4652</v>
      </c>
      <c r="F89">
        <v>2.9</v>
      </c>
      <c r="G89">
        <v>15352</v>
      </c>
      <c r="H89">
        <v>123071</v>
      </c>
      <c r="I89">
        <v>30183</v>
      </c>
      <c r="K89">
        <v>2010</v>
      </c>
      <c r="L89" t="s">
        <v>63</v>
      </c>
    </row>
    <row r="90" spans="1:12" x14ac:dyDescent="0.35">
      <c r="A90" t="s">
        <v>12</v>
      </c>
      <c r="B90" t="s">
        <v>62</v>
      </c>
      <c r="C90" t="s">
        <v>37</v>
      </c>
      <c r="D90">
        <v>4.8</v>
      </c>
      <c r="E90">
        <v>6110</v>
      </c>
      <c r="F90">
        <v>4</v>
      </c>
      <c r="G90">
        <v>15603</v>
      </c>
      <c r="H90">
        <v>197604</v>
      </c>
      <c r="I90">
        <v>32953</v>
      </c>
      <c r="K90">
        <v>2010</v>
      </c>
      <c r="L90" t="s">
        <v>63</v>
      </c>
    </row>
    <row r="91" spans="1:12" x14ac:dyDescent="0.35">
      <c r="A91" t="s">
        <v>12</v>
      </c>
      <c r="B91" t="s">
        <v>62</v>
      </c>
      <c r="C91" t="s">
        <v>36</v>
      </c>
      <c r="D91">
        <v>8.8000000000000007</v>
      </c>
      <c r="E91">
        <v>424</v>
      </c>
      <c r="F91">
        <v>4.2</v>
      </c>
      <c r="G91">
        <v>55</v>
      </c>
      <c r="H91">
        <v>4317</v>
      </c>
      <c r="I91">
        <v>1765</v>
      </c>
      <c r="K91">
        <v>2010</v>
      </c>
      <c r="L91" t="s">
        <v>63</v>
      </c>
    </row>
    <row r="92" spans="1:12" x14ac:dyDescent="0.35">
      <c r="A92" t="s">
        <v>12</v>
      </c>
      <c r="B92" t="s">
        <v>62</v>
      </c>
      <c r="C92" t="s">
        <v>35</v>
      </c>
      <c r="D92">
        <v>5.7</v>
      </c>
      <c r="E92">
        <v>956</v>
      </c>
      <c r="F92">
        <v>3.4</v>
      </c>
      <c r="G92">
        <v>1686</v>
      </c>
      <c r="H92">
        <v>12108</v>
      </c>
      <c r="I92">
        <v>6102</v>
      </c>
      <c r="K92">
        <v>2010</v>
      </c>
      <c r="L92" t="s">
        <v>63</v>
      </c>
    </row>
    <row r="93" spans="1:12" x14ac:dyDescent="0.35">
      <c r="A93" t="s">
        <v>12</v>
      </c>
      <c r="B93" t="s">
        <v>62</v>
      </c>
      <c r="C93" t="s">
        <v>33</v>
      </c>
      <c r="D93">
        <v>4.4000000000000004</v>
      </c>
      <c r="E93">
        <v>471</v>
      </c>
      <c r="F93">
        <v>4.0999999999999996</v>
      </c>
      <c r="G93">
        <v>788</v>
      </c>
      <c r="H93">
        <v>20216</v>
      </c>
      <c r="I93">
        <v>2136</v>
      </c>
      <c r="K93">
        <v>2010</v>
      </c>
      <c r="L93" t="s">
        <v>63</v>
      </c>
    </row>
    <row r="94" spans="1:12" x14ac:dyDescent="0.35">
      <c r="A94" t="s">
        <v>12</v>
      </c>
      <c r="B94" t="s">
        <v>62</v>
      </c>
      <c r="C94" t="s">
        <v>32</v>
      </c>
      <c r="D94">
        <v>4.2</v>
      </c>
      <c r="E94">
        <v>5771</v>
      </c>
      <c r="G94">
        <v>11066</v>
      </c>
      <c r="H94">
        <v>138011</v>
      </c>
      <c r="I94">
        <v>35557</v>
      </c>
      <c r="K94">
        <v>2010</v>
      </c>
      <c r="L94" t="s">
        <v>63</v>
      </c>
    </row>
    <row r="95" spans="1:12" x14ac:dyDescent="0.35">
      <c r="A95" t="s">
        <v>12</v>
      </c>
      <c r="B95" t="s">
        <v>62</v>
      </c>
      <c r="C95" t="s">
        <v>31</v>
      </c>
      <c r="E95">
        <v>7692</v>
      </c>
      <c r="F95">
        <v>5.5</v>
      </c>
      <c r="G95">
        <v>8053</v>
      </c>
      <c r="H95">
        <v>325907</v>
      </c>
      <c r="I95">
        <v>40670</v>
      </c>
      <c r="K95">
        <v>2010</v>
      </c>
      <c r="L95" t="s">
        <v>63</v>
      </c>
    </row>
    <row r="96" spans="1:12" x14ac:dyDescent="0.35">
      <c r="A96" t="s">
        <v>12</v>
      </c>
      <c r="B96" t="s">
        <v>62</v>
      </c>
      <c r="C96" t="s">
        <v>30</v>
      </c>
      <c r="E96">
        <v>3249</v>
      </c>
      <c r="F96">
        <v>4.8</v>
      </c>
      <c r="G96">
        <v>4183</v>
      </c>
      <c r="H96">
        <v>134796</v>
      </c>
      <c r="I96">
        <v>16536</v>
      </c>
      <c r="K96">
        <v>2010</v>
      </c>
      <c r="L96" t="s">
        <v>63</v>
      </c>
    </row>
    <row r="97" spans="1:12" x14ac:dyDescent="0.35">
      <c r="A97" t="s">
        <v>12</v>
      </c>
      <c r="B97" t="s">
        <v>62</v>
      </c>
      <c r="C97" t="s">
        <v>28</v>
      </c>
      <c r="E97">
        <v>1979</v>
      </c>
      <c r="G97">
        <v>39044</v>
      </c>
      <c r="H97">
        <v>72840</v>
      </c>
      <c r="K97">
        <v>2010</v>
      </c>
      <c r="L97" t="s">
        <v>63</v>
      </c>
    </row>
    <row r="98" spans="1:12" x14ac:dyDescent="0.35">
      <c r="A98" t="s">
        <v>12</v>
      </c>
      <c r="B98" t="s">
        <v>62</v>
      </c>
      <c r="C98" t="s">
        <v>27</v>
      </c>
      <c r="K98">
        <v>2010</v>
      </c>
      <c r="L98" t="s">
        <v>63</v>
      </c>
    </row>
    <row r="99" spans="1:12" x14ac:dyDescent="0.35">
      <c r="A99" t="s">
        <v>12</v>
      </c>
      <c r="B99" t="s">
        <v>62</v>
      </c>
      <c r="C99" t="s">
        <v>26</v>
      </c>
      <c r="K99">
        <v>2010</v>
      </c>
      <c r="L99" t="s">
        <v>63</v>
      </c>
    </row>
    <row r="100" spans="1:12" x14ac:dyDescent="0.35">
      <c r="A100" t="s">
        <v>12</v>
      </c>
      <c r="B100" t="s">
        <v>62</v>
      </c>
      <c r="C100" t="s">
        <v>24</v>
      </c>
      <c r="D100">
        <v>3.2</v>
      </c>
      <c r="E100">
        <v>7164</v>
      </c>
      <c r="F100">
        <v>4.9000000000000004</v>
      </c>
      <c r="G100">
        <v>8476</v>
      </c>
      <c r="H100">
        <v>329638</v>
      </c>
      <c r="I100">
        <v>34019</v>
      </c>
      <c r="K100">
        <v>2010</v>
      </c>
      <c r="L100" t="s">
        <v>63</v>
      </c>
    </row>
    <row r="101" spans="1:12" x14ac:dyDescent="0.35">
      <c r="A101" t="s">
        <v>12</v>
      </c>
      <c r="B101" t="s">
        <v>62</v>
      </c>
      <c r="C101" t="s">
        <v>23</v>
      </c>
      <c r="D101">
        <v>5.9</v>
      </c>
      <c r="E101">
        <v>5573</v>
      </c>
      <c r="F101">
        <v>4.3</v>
      </c>
      <c r="H101">
        <v>6331</v>
      </c>
      <c r="I101">
        <v>38915</v>
      </c>
      <c r="K101">
        <v>2010</v>
      </c>
      <c r="L101" t="s">
        <v>63</v>
      </c>
    </row>
    <row r="102" spans="1:12" x14ac:dyDescent="0.35">
      <c r="A102" t="s">
        <v>12</v>
      </c>
      <c r="B102" t="s">
        <v>62</v>
      </c>
      <c r="C102" t="s">
        <v>22</v>
      </c>
      <c r="D102">
        <v>4</v>
      </c>
      <c r="E102">
        <v>16212</v>
      </c>
      <c r="F102">
        <v>4.9000000000000004</v>
      </c>
      <c r="G102">
        <v>25380</v>
      </c>
      <c r="H102">
        <v>543987</v>
      </c>
      <c r="I102">
        <v>103565</v>
      </c>
      <c r="K102">
        <v>2010</v>
      </c>
      <c r="L102" t="s">
        <v>63</v>
      </c>
    </row>
    <row r="103" spans="1:12" x14ac:dyDescent="0.35">
      <c r="A103" t="s">
        <v>12</v>
      </c>
      <c r="B103" t="s">
        <v>62</v>
      </c>
      <c r="C103" t="s">
        <v>20</v>
      </c>
      <c r="D103">
        <v>8</v>
      </c>
      <c r="E103">
        <v>50</v>
      </c>
      <c r="F103">
        <v>4</v>
      </c>
      <c r="G103">
        <v>6</v>
      </c>
      <c r="H103">
        <v>514</v>
      </c>
      <c r="I103">
        <v>324</v>
      </c>
      <c r="K103">
        <v>2010</v>
      </c>
      <c r="L103" t="s">
        <v>63</v>
      </c>
    </row>
    <row r="104" spans="1:12" x14ac:dyDescent="0.35">
      <c r="A104" t="s">
        <v>12</v>
      </c>
      <c r="B104" t="s">
        <v>62</v>
      </c>
      <c r="C104" t="s">
        <v>19</v>
      </c>
      <c r="D104">
        <v>2.7</v>
      </c>
      <c r="E104">
        <v>3414</v>
      </c>
      <c r="F104">
        <v>4.4000000000000004</v>
      </c>
      <c r="G104">
        <v>20145</v>
      </c>
      <c r="H104">
        <v>217963</v>
      </c>
      <c r="I104">
        <v>23540</v>
      </c>
      <c r="K104">
        <v>2010</v>
      </c>
      <c r="L104" t="s">
        <v>63</v>
      </c>
    </row>
    <row r="105" spans="1:12" x14ac:dyDescent="0.35">
      <c r="A105" t="s">
        <v>12</v>
      </c>
      <c r="B105" t="s">
        <v>62</v>
      </c>
      <c r="C105" t="s">
        <v>18</v>
      </c>
      <c r="D105">
        <v>7.7</v>
      </c>
      <c r="E105">
        <v>53</v>
      </c>
      <c r="F105">
        <v>3.5</v>
      </c>
      <c r="G105">
        <v>2</v>
      </c>
      <c r="H105">
        <v>204</v>
      </c>
      <c r="I105">
        <v>650</v>
      </c>
      <c r="K105">
        <v>2010</v>
      </c>
      <c r="L105" t="s">
        <v>63</v>
      </c>
    </row>
    <row r="106" spans="1:12" x14ac:dyDescent="0.35">
      <c r="A106" t="s">
        <v>12</v>
      </c>
      <c r="B106" t="s">
        <v>62</v>
      </c>
      <c r="C106" t="s">
        <v>16</v>
      </c>
      <c r="D106">
        <v>5.3</v>
      </c>
      <c r="E106">
        <v>203</v>
      </c>
      <c r="F106">
        <v>3.8</v>
      </c>
      <c r="G106">
        <v>0</v>
      </c>
      <c r="H106">
        <v>1715</v>
      </c>
      <c r="I106">
        <v>1050</v>
      </c>
      <c r="K106">
        <v>2010</v>
      </c>
      <c r="L106" t="s">
        <v>63</v>
      </c>
    </row>
    <row r="107" spans="1:12" x14ac:dyDescent="0.35">
      <c r="A107" t="s">
        <v>12</v>
      </c>
      <c r="B107" t="s">
        <v>62</v>
      </c>
      <c r="C107" t="s">
        <v>14</v>
      </c>
      <c r="D107">
        <v>5.6</v>
      </c>
      <c r="E107">
        <v>376</v>
      </c>
      <c r="G107">
        <v>812</v>
      </c>
      <c r="H107">
        <v>232</v>
      </c>
      <c r="I107">
        <v>2416</v>
      </c>
      <c r="K107">
        <v>2010</v>
      </c>
      <c r="L107" t="s">
        <v>63</v>
      </c>
    </row>
    <row r="108" spans="1:12" x14ac:dyDescent="0.35">
      <c r="A108" t="s">
        <v>12</v>
      </c>
      <c r="B108" t="s">
        <v>62</v>
      </c>
      <c r="C108" t="s">
        <v>52</v>
      </c>
      <c r="D108">
        <v>7.9</v>
      </c>
      <c r="E108">
        <v>783</v>
      </c>
      <c r="F108">
        <v>4.2</v>
      </c>
      <c r="G108">
        <v>575</v>
      </c>
      <c r="H108">
        <v>13951</v>
      </c>
      <c r="I108">
        <v>3959</v>
      </c>
      <c r="K108">
        <v>2010</v>
      </c>
      <c r="L108" t="s">
        <v>63</v>
      </c>
    </row>
    <row r="109" spans="1:12" x14ac:dyDescent="0.35">
      <c r="A109" t="s">
        <v>12</v>
      </c>
      <c r="B109" t="s">
        <v>62</v>
      </c>
      <c r="C109" t="s">
        <v>50</v>
      </c>
      <c r="D109">
        <v>4.5999999999999996</v>
      </c>
      <c r="E109">
        <v>3773</v>
      </c>
      <c r="F109">
        <v>5.3</v>
      </c>
      <c r="G109">
        <v>4563</v>
      </c>
      <c r="H109">
        <v>137650</v>
      </c>
      <c r="I109">
        <v>17586</v>
      </c>
      <c r="K109">
        <v>2010</v>
      </c>
      <c r="L109" t="s">
        <v>63</v>
      </c>
    </row>
    <row r="110" spans="1:12" x14ac:dyDescent="0.35">
      <c r="A110" t="s">
        <v>12</v>
      </c>
      <c r="B110" t="s">
        <v>62</v>
      </c>
      <c r="C110" t="s">
        <v>48</v>
      </c>
      <c r="D110">
        <v>4.8</v>
      </c>
      <c r="E110">
        <v>333</v>
      </c>
      <c r="F110">
        <v>4.5</v>
      </c>
      <c r="G110">
        <v>48</v>
      </c>
      <c r="H110">
        <v>10588</v>
      </c>
      <c r="I110">
        <v>938</v>
      </c>
      <c r="K110">
        <v>2010</v>
      </c>
      <c r="L110" t="s">
        <v>63</v>
      </c>
    </row>
    <row r="111" spans="1:12" x14ac:dyDescent="0.35">
      <c r="A111" t="s">
        <v>12</v>
      </c>
      <c r="B111" t="s">
        <v>62</v>
      </c>
      <c r="C111" t="s">
        <v>57</v>
      </c>
      <c r="K111">
        <v>2010</v>
      </c>
      <c r="L111" t="s">
        <v>63</v>
      </c>
    </row>
    <row r="112" spans="1:12" x14ac:dyDescent="0.35">
      <c r="A112" t="s">
        <v>12</v>
      </c>
      <c r="B112" t="s">
        <v>62</v>
      </c>
      <c r="C112" t="s">
        <v>45</v>
      </c>
      <c r="D112">
        <v>7.1</v>
      </c>
      <c r="E112">
        <v>1549</v>
      </c>
      <c r="F112">
        <v>3.4</v>
      </c>
      <c r="G112">
        <v>4500</v>
      </c>
      <c r="H112">
        <v>36395</v>
      </c>
      <c r="I112">
        <v>9780</v>
      </c>
      <c r="K112">
        <v>2010</v>
      </c>
      <c r="L112" t="s">
        <v>63</v>
      </c>
    </row>
    <row r="113" spans="1:12" x14ac:dyDescent="0.35">
      <c r="A113" t="s">
        <v>12</v>
      </c>
      <c r="B113" t="s">
        <v>62</v>
      </c>
      <c r="C113" t="s">
        <v>58</v>
      </c>
      <c r="K113">
        <v>2010</v>
      </c>
      <c r="L113" t="s">
        <v>63</v>
      </c>
    </row>
    <row r="114" spans="1:12" x14ac:dyDescent="0.35">
      <c r="A114" t="s">
        <v>12</v>
      </c>
      <c r="B114" t="s">
        <v>62</v>
      </c>
      <c r="C114" t="s">
        <v>59</v>
      </c>
      <c r="K114">
        <v>2010</v>
      </c>
      <c r="L114" t="s">
        <v>63</v>
      </c>
    </row>
    <row r="115" spans="1:12" x14ac:dyDescent="0.35">
      <c r="A115" t="s">
        <v>12</v>
      </c>
      <c r="B115" t="s">
        <v>62</v>
      </c>
      <c r="C115" t="s">
        <v>51</v>
      </c>
      <c r="D115">
        <v>4.0999999999999996</v>
      </c>
      <c r="E115">
        <v>4476</v>
      </c>
      <c r="F115">
        <v>5.0999999999999996</v>
      </c>
      <c r="G115">
        <v>3391</v>
      </c>
      <c r="H115">
        <v>222004</v>
      </c>
      <c r="I115">
        <v>20486</v>
      </c>
      <c r="K115">
        <v>2010</v>
      </c>
      <c r="L115" t="s">
        <v>63</v>
      </c>
    </row>
    <row r="116" spans="1:12" x14ac:dyDescent="0.35">
      <c r="A116" t="s">
        <v>12</v>
      </c>
      <c r="B116" t="s">
        <v>62</v>
      </c>
      <c r="C116" t="s">
        <v>60</v>
      </c>
      <c r="K116">
        <v>2010</v>
      </c>
      <c r="L116" t="s">
        <v>63</v>
      </c>
    </row>
    <row r="117" spans="1:12" x14ac:dyDescent="0.35">
      <c r="A117" t="s">
        <v>12</v>
      </c>
      <c r="B117" t="s">
        <v>62</v>
      </c>
      <c r="C117" t="s">
        <v>64</v>
      </c>
      <c r="K117">
        <v>2010</v>
      </c>
      <c r="L117" t="s">
        <v>63</v>
      </c>
    </row>
    <row r="118" spans="1:12" x14ac:dyDescent="0.35">
      <c r="A118" t="s">
        <v>12</v>
      </c>
      <c r="B118" t="s">
        <v>62</v>
      </c>
      <c r="C118" t="s">
        <v>17</v>
      </c>
      <c r="D118">
        <v>6.8</v>
      </c>
      <c r="E118">
        <v>408</v>
      </c>
      <c r="F118">
        <v>4.0999999999999996</v>
      </c>
      <c r="G118">
        <v>927</v>
      </c>
      <c r="H118">
        <v>14916</v>
      </c>
      <c r="I118">
        <v>2388</v>
      </c>
      <c r="K118">
        <v>2010</v>
      </c>
      <c r="L118" t="s">
        <v>63</v>
      </c>
    </row>
    <row r="119" spans="1:12" x14ac:dyDescent="0.35">
      <c r="A119" t="s">
        <v>12</v>
      </c>
      <c r="B119" t="s">
        <v>62</v>
      </c>
      <c r="C119" t="s">
        <v>21</v>
      </c>
      <c r="D119">
        <v>4</v>
      </c>
      <c r="E119">
        <v>1000</v>
      </c>
      <c r="F119">
        <v>5</v>
      </c>
      <c r="G119">
        <v>270</v>
      </c>
      <c r="H119">
        <v>67286</v>
      </c>
      <c r="I119">
        <v>6592</v>
      </c>
      <c r="K119">
        <v>2010</v>
      </c>
      <c r="L119" t="s">
        <v>63</v>
      </c>
    </row>
    <row r="120" spans="1:12" x14ac:dyDescent="0.35">
      <c r="A120" t="s">
        <v>12</v>
      </c>
      <c r="B120" t="s">
        <v>62</v>
      </c>
      <c r="C120" t="s">
        <v>65</v>
      </c>
      <c r="K120">
        <v>2010</v>
      </c>
      <c r="L120" t="s">
        <v>63</v>
      </c>
    </row>
    <row r="121" spans="1:12" x14ac:dyDescent="0.35">
      <c r="A121" t="s">
        <v>12</v>
      </c>
      <c r="B121" t="s">
        <v>62</v>
      </c>
      <c r="C121" t="s">
        <v>61</v>
      </c>
      <c r="K121">
        <v>2010</v>
      </c>
      <c r="L121" t="s">
        <v>63</v>
      </c>
    </row>
    <row r="122" spans="1:12" x14ac:dyDescent="0.35">
      <c r="A122" t="s">
        <v>12</v>
      </c>
      <c r="B122" t="s">
        <v>62</v>
      </c>
      <c r="C122" t="s">
        <v>25</v>
      </c>
      <c r="D122">
        <v>3.2</v>
      </c>
      <c r="E122">
        <v>3014</v>
      </c>
      <c r="F122">
        <v>2.7</v>
      </c>
      <c r="G122">
        <v>10656</v>
      </c>
      <c r="H122">
        <v>249006</v>
      </c>
      <c r="I122">
        <v>18466</v>
      </c>
      <c r="K122">
        <v>2010</v>
      </c>
      <c r="L122" t="s">
        <v>63</v>
      </c>
    </row>
    <row r="123" spans="1:12" x14ac:dyDescent="0.35">
      <c r="A123" t="s">
        <v>12</v>
      </c>
      <c r="B123" t="s">
        <v>62</v>
      </c>
      <c r="C123" t="s">
        <v>29</v>
      </c>
      <c r="D123">
        <v>4.5999999999999996</v>
      </c>
      <c r="E123">
        <v>3596</v>
      </c>
      <c r="F123">
        <v>5</v>
      </c>
      <c r="G123">
        <v>11822</v>
      </c>
      <c r="H123">
        <v>303226</v>
      </c>
      <c r="I123">
        <v>22733</v>
      </c>
      <c r="K123">
        <v>2010</v>
      </c>
      <c r="L123" t="s">
        <v>63</v>
      </c>
    </row>
    <row r="124" spans="1:12" x14ac:dyDescent="0.35">
      <c r="A124" t="s">
        <v>12</v>
      </c>
      <c r="B124" t="s">
        <v>62</v>
      </c>
      <c r="C124" t="s">
        <v>34</v>
      </c>
      <c r="D124">
        <v>4.0999999999999996</v>
      </c>
      <c r="E124">
        <v>3460</v>
      </c>
      <c r="F124">
        <v>5.5</v>
      </c>
      <c r="G124">
        <v>12289</v>
      </c>
      <c r="H124">
        <v>306149</v>
      </c>
      <c r="I124">
        <v>14588</v>
      </c>
      <c r="K124">
        <v>2010</v>
      </c>
      <c r="L124" t="s">
        <v>63</v>
      </c>
    </row>
    <row r="125" spans="1:12" x14ac:dyDescent="0.35">
      <c r="A125" t="s">
        <v>12</v>
      </c>
      <c r="B125" t="s">
        <v>62</v>
      </c>
      <c r="C125" t="s">
        <v>38</v>
      </c>
      <c r="D125">
        <v>4</v>
      </c>
      <c r="E125">
        <v>2056</v>
      </c>
      <c r="F125">
        <v>5.5</v>
      </c>
      <c r="G125">
        <v>6966</v>
      </c>
      <c r="H125">
        <v>178818</v>
      </c>
      <c r="I125">
        <v>12750</v>
      </c>
      <c r="K125">
        <v>2010</v>
      </c>
      <c r="L125" t="s">
        <v>63</v>
      </c>
    </row>
    <row r="126" spans="1:12" x14ac:dyDescent="0.35">
      <c r="A126" t="s">
        <v>12</v>
      </c>
      <c r="B126" t="s">
        <v>62</v>
      </c>
      <c r="C126" t="s">
        <v>42</v>
      </c>
      <c r="D126">
        <v>4.2</v>
      </c>
      <c r="E126">
        <v>3316</v>
      </c>
      <c r="F126">
        <v>5.5</v>
      </c>
      <c r="G126">
        <v>10746</v>
      </c>
      <c r="H126">
        <v>322239</v>
      </c>
      <c r="I126">
        <v>21546</v>
      </c>
      <c r="K126">
        <v>2010</v>
      </c>
      <c r="L126" t="s">
        <v>63</v>
      </c>
    </row>
    <row r="127" spans="1:12" x14ac:dyDescent="0.35">
      <c r="A127" t="s">
        <v>12</v>
      </c>
      <c r="B127" t="s">
        <v>62</v>
      </c>
      <c r="C127" t="s">
        <v>46</v>
      </c>
      <c r="D127">
        <v>4.4000000000000004</v>
      </c>
      <c r="E127">
        <v>47</v>
      </c>
      <c r="F127">
        <v>5.5</v>
      </c>
      <c r="H127">
        <v>501</v>
      </c>
      <c r="I127">
        <v>510</v>
      </c>
      <c r="K127">
        <v>2010</v>
      </c>
      <c r="L127" t="s">
        <v>63</v>
      </c>
    </row>
    <row r="128" spans="1:12" x14ac:dyDescent="0.35">
      <c r="A128" t="s">
        <v>12</v>
      </c>
      <c r="B128" t="s">
        <v>62</v>
      </c>
      <c r="C128" t="s">
        <v>47</v>
      </c>
      <c r="E128">
        <v>8557</v>
      </c>
      <c r="F128">
        <v>5.3</v>
      </c>
      <c r="G128">
        <v>4705</v>
      </c>
      <c r="H128">
        <v>339453</v>
      </c>
      <c r="I128">
        <v>32081</v>
      </c>
      <c r="K128">
        <v>2010</v>
      </c>
      <c r="L128" t="s">
        <v>63</v>
      </c>
    </row>
    <row r="129" spans="1:12" x14ac:dyDescent="0.35">
      <c r="A129" t="s">
        <v>12</v>
      </c>
      <c r="B129" t="s">
        <v>62</v>
      </c>
      <c r="C129" t="s">
        <v>55</v>
      </c>
      <c r="K129">
        <v>2010</v>
      </c>
      <c r="L129" t="s">
        <v>63</v>
      </c>
    </row>
    <row r="130" spans="1:12" x14ac:dyDescent="0.35">
      <c r="A130" t="s">
        <v>12</v>
      </c>
      <c r="B130" t="s">
        <v>66</v>
      </c>
      <c r="C130" t="s">
        <v>21</v>
      </c>
      <c r="D130">
        <v>4</v>
      </c>
      <c r="E130">
        <v>959</v>
      </c>
      <c r="F130">
        <v>5.0999999999999996</v>
      </c>
      <c r="G130">
        <v>235</v>
      </c>
      <c r="H130">
        <v>61070</v>
      </c>
      <c r="I130">
        <v>6146</v>
      </c>
      <c r="K130">
        <v>2011</v>
      </c>
      <c r="L130" t="s">
        <v>67</v>
      </c>
    </row>
    <row r="131" spans="1:12" x14ac:dyDescent="0.35">
      <c r="A131" t="s">
        <v>12</v>
      </c>
      <c r="B131" t="s">
        <v>66</v>
      </c>
      <c r="C131" t="s">
        <v>56</v>
      </c>
      <c r="D131">
        <v>5</v>
      </c>
      <c r="E131">
        <v>631</v>
      </c>
      <c r="F131">
        <v>3.8</v>
      </c>
      <c r="G131">
        <v>45</v>
      </c>
      <c r="I131">
        <v>2579</v>
      </c>
      <c r="K131">
        <v>2011</v>
      </c>
      <c r="L131" t="s">
        <v>67</v>
      </c>
    </row>
    <row r="132" spans="1:12" x14ac:dyDescent="0.35">
      <c r="A132" t="s">
        <v>12</v>
      </c>
      <c r="B132" t="s">
        <v>66</v>
      </c>
      <c r="C132" t="s">
        <v>40</v>
      </c>
      <c r="K132">
        <v>2011</v>
      </c>
      <c r="L132" t="s">
        <v>67</v>
      </c>
    </row>
    <row r="133" spans="1:12" x14ac:dyDescent="0.35">
      <c r="A133" t="s">
        <v>12</v>
      </c>
      <c r="B133" t="s">
        <v>66</v>
      </c>
      <c r="C133" t="s">
        <v>39</v>
      </c>
      <c r="D133">
        <v>6.1</v>
      </c>
      <c r="E133">
        <v>4669</v>
      </c>
      <c r="F133">
        <v>2.9</v>
      </c>
      <c r="G133">
        <v>14395</v>
      </c>
      <c r="H133">
        <v>123353</v>
      </c>
      <c r="I133">
        <v>35345</v>
      </c>
      <c r="K133">
        <v>2011</v>
      </c>
      <c r="L133" t="s">
        <v>67</v>
      </c>
    </row>
    <row r="134" spans="1:12" x14ac:dyDescent="0.35">
      <c r="A134" t="s">
        <v>12</v>
      </c>
      <c r="B134" t="s">
        <v>66</v>
      </c>
      <c r="C134" t="s">
        <v>47</v>
      </c>
      <c r="E134">
        <v>8746</v>
      </c>
      <c r="F134">
        <v>5.2</v>
      </c>
      <c r="G134">
        <v>4911</v>
      </c>
      <c r="H134">
        <v>372918</v>
      </c>
      <c r="I134">
        <v>28170</v>
      </c>
      <c r="K134">
        <v>2011</v>
      </c>
      <c r="L134" t="s">
        <v>67</v>
      </c>
    </row>
    <row r="135" spans="1:12" x14ac:dyDescent="0.35">
      <c r="A135" t="s">
        <v>12</v>
      </c>
      <c r="B135" t="s">
        <v>66</v>
      </c>
      <c r="C135" t="s">
        <v>37</v>
      </c>
      <c r="D135">
        <v>4.9000000000000004</v>
      </c>
      <c r="E135">
        <v>6092</v>
      </c>
      <c r="F135">
        <v>4</v>
      </c>
      <c r="G135">
        <v>15920</v>
      </c>
      <c r="H135">
        <v>232759</v>
      </c>
      <c r="I135">
        <v>32331</v>
      </c>
      <c r="K135">
        <v>2011</v>
      </c>
      <c r="L135" t="s">
        <v>67</v>
      </c>
    </row>
    <row r="136" spans="1:12" x14ac:dyDescent="0.35">
      <c r="A136" t="s">
        <v>12</v>
      </c>
      <c r="B136" t="s">
        <v>66</v>
      </c>
      <c r="C136" t="s">
        <v>55</v>
      </c>
      <c r="K136">
        <v>2011</v>
      </c>
      <c r="L136" t="s">
        <v>67</v>
      </c>
    </row>
    <row r="137" spans="1:12" x14ac:dyDescent="0.35">
      <c r="A137" t="s">
        <v>12</v>
      </c>
      <c r="B137" t="s">
        <v>66</v>
      </c>
      <c r="C137" t="s">
        <v>36</v>
      </c>
      <c r="D137">
        <v>9.8000000000000007</v>
      </c>
      <c r="E137">
        <v>414</v>
      </c>
      <c r="F137">
        <v>4.3</v>
      </c>
      <c r="G137">
        <v>53</v>
      </c>
      <c r="H137">
        <v>4075</v>
      </c>
      <c r="I137">
        <v>1516</v>
      </c>
      <c r="K137">
        <v>2011</v>
      </c>
      <c r="L137" t="s">
        <v>67</v>
      </c>
    </row>
    <row r="138" spans="1:12" x14ac:dyDescent="0.35">
      <c r="A138" t="s">
        <v>12</v>
      </c>
      <c r="B138" t="s">
        <v>66</v>
      </c>
      <c r="C138" t="s">
        <v>51</v>
      </c>
      <c r="D138">
        <v>4.4000000000000004</v>
      </c>
      <c r="E138">
        <v>4383</v>
      </c>
      <c r="F138">
        <v>5</v>
      </c>
      <c r="G138">
        <v>3308</v>
      </c>
      <c r="H138">
        <v>303312</v>
      </c>
      <c r="I138">
        <v>21053</v>
      </c>
      <c r="K138">
        <v>2011</v>
      </c>
      <c r="L138" t="s">
        <v>67</v>
      </c>
    </row>
    <row r="139" spans="1:12" x14ac:dyDescent="0.35">
      <c r="A139" t="s">
        <v>12</v>
      </c>
      <c r="B139" t="s">
        <v>66</v>
      </c>
      <c r="C139" t="s">
        <v>35</v>
      </c>
      <c r="D139">
        <v>4.7</v>
      </c>
      <c r="E139">
        <v>839</v>
      </c>
      <c r="F139">
        <v>3</v>
      </c>
      <c r="G139">
        <v>1164</v>
      </c>
      <c r="H139">
        <v>11996</v>
      </c>
      <c r="I139">
        <v>5813</v>
      </c>
      <c r="K139">
        <v>2011</v>
      </c>
      <c r="L139" t="s">
        <v>67</v>
      </c>
    </row>
    <row r="140" spans="1:12" x14ac:dyDescent="0.35">
      <c r="A140" t="s">
        <v>12</v>
      </c>
      <c r="B140" t="s">
        <v>66</v>
      </c>
      <c r="C140" t="s">
        <v>33</v>
      </c>
      <c r="D140">
        <v>5.3</v>
      </c>
      <c r="E140">
        <v>493</v>
      </c>
      <c r="F140">
        <v>3.8</v>
      </c>
      <c r="G140">
        <v>794</v>
      </c>
      <c r="H140">
        <v>19614</v>
      </c>
      <c r="I140">
        <v>2055</v>
      </c>
      <c r="K140">
        <v>2011</v>
      </c>
      <c r="L140" t="s">
        <v>67</v>
      </c>
    </row>
    <row r="141" spans="1:12" x14ac:dyDescent="0.35">
      <c r="A141" t="s">
        <v>12</v>
      </c>
      <c r="B141" t="s">
        <v>66</v>
      </c>
      <c r="C141" t="s">
        <v>65</v>
      </c>
      <c r="K141">
        <v>2011</v>
      </c>
      <c r="L141" t="s">
        <v>67</v>
      </c>
    </row>
    <row r="142" spans="1:12" x14ac:dyDescent="0.35">
      <c r="A142" t="s">
        <v>12</v>
      </c>
      <c r="B142" t="s">
        <v>66</v>
      </c>
      <c r="C142" t="s">
        <v>58</v>
      </c>
      <c r="K142">
        <v>2011</v>
      </c>
      <c r="L142" t="s">
        <v>67</v>
      </c>
    </row>
    <row r="143" spans="1:12" x14ac:dyDescent="0.35">
      <c r="A143" t="s">
        <v>12</v>
      </c>
      <c r="B143" t="s">
        <v>66</v>
      </c>
      <c r="C143" t="s">
        <v>32</v>
      </c>
      <c r="D143">
        <v>4.8</v>
      </c>
      <c r="E143">
        <v>6077</v>
      </c>
      <c r="F143">
        <v>2.5</v>
      </c>
      <c r="G143">
        <v>16177</v>
      </c>
      <c r="H143">
        <v>90237</v>
      </c>
      <c r="I143">
        <v>40721</v>
      </c>
      <c r="K143">
        <v>2011</v>
      </c>
      <c r="L143" t="s">
        <v>67</v>
      </c>
    </row>
    <row r="144" spans="1:12" x14ac:dyDescent="0.35">
      <c r="A144" t="s">
        <v>12</v>
      </c>
      <c r="B144" t="s">
        <v>66</v>
      </c>
      <c r="C144" t="s">
        <v>31</v>
      </c>
      <c r="D144">
        <v>4.0999999999999996</v>
      </c>
      <c r="E144">
        <v>7663</v>
      </c>
      <c r="F144">
        <v>5.5</v>
      </c>
      <c r="G144">
        <v>8559</v>
      </c>
      <c r="H144">
        <v>351240</v>
      </c>
      <c r="I144">
        <v>41863</v>
      </c>
      <c r="K144">
        <v>2011</v>
      </c>
      <c r="L144" t="s">
        <v>67</v>
      </c>
    </row>
    <row r="145" spans="1:12" x14ac:dyDescent="0.35">
      <c r="A145" t="s">
        <v>12</v>
      </c>
      <c r="B145" t="s">
        <v>66</v>
      </c>
      <c r="C145" t="s">
        <v>30</v>
      </c>
      <c r="D145">
        <v>7</v>
      </c>
      <c r="E145">
        <v>3755</v>
      </c>
      <c r="F145">
        <v>4.8</v>
      </c>
      <c r="G145">
        <v>4028</v>
      </c>
      <c r="H145">
        <v>139868</v>
      </c>
      <c r="I145">
        <v>16610</v>
      </c>
      <c r="K145">
        <v>2011</v>
      </c>
      <c r="L145" t="s">
        <v>67</v>
      </c>
    </row>
    <row r="146" spans="1:12" x14ac:dyDescent="0.35">
      <c r="A146" t="s">
        <v>12</v>
      </c>
      <c r="B146" t="s">
        <v>66</v>
      </c>
      <c r="C146" t="s">
        <v>60</v>
      </c>
      <c r="K146">
        <v>2011</v>
      </c>
      <c r="L146" t="s">
        <v>67</v>
      </c>
    </row>
    <row r="147" spans="1:12" x14ac:dyDescent="0.35">
      <c r="A147" t="s">
        <v>12</v>
      </c>
      <c r="B147" t="s">
        <v>66</v>
      </c>
      <c r="C147" t="s">
        <v>28</v>
      </c>
      <c r="E147">
        <v>2024</v>
      </c>
      <c r="F147">
        <v>3.6</v>
      </c>
      <c r="G147">
        <v>40413</v>
      </c>
      <c r="H147">
        <v>71619</v>
      </c>
      <c r="I147">
        <v>8492</v>
      </c>
      <c r="K147">
        <v>2011</v>
      </c>
      <c r="L147" t="s">
        <v>67</v>
      </c>
    </row>
    <row r="148" spans="1:12" x14ac:dyDescent="0.35">
      <c r="A148" t="s">
        <v>12</v>
      </c>
      <c r="B148" t="s">
        <v>66</v>
      </c>
      <c r="C148" t="s">
        <v>44</v>
      </c>
      <c r="E148">
        <v>985</v>
      </c>
      <c r="F148">
        <v>3.3</v>
      </c>
      <c r="G148">
        <v>2935</v>
      </c>
      <c r="H148">
        <v>21288</v>
      </c>
      <c r="I148">
        <v>4715</v>
      </c>
      <c r="K148">
        <v>2011</v>
      </c>
      <c r="L148" t="s">
        <v>67</v>
      </c>
    </row>
    <row r="149" spans="1:12" x14ac:dyDescent="0.35">
      <c r="A149" t="s">
        <v>12</v>
      </c>
      <c r="B149" t="s">
        <v>66</v>
      </c>
      <c r="C149" t="s">
        <v>45</v>
      </c>
      <c r="D149">
        <v>7.2</v>
      </c>
      <c r="E149">
        <v>1634</v>
      </c>
      <c r="F149">
        <v>3.3</v>
      </c>
      <c r="G149">
        <v>4497</v>
      </c>
      <c r="H149">
        <v>38690</v>
      </c>
      <c r="I149">
        <v>9633</v>
      </c>
      <c r="K149">
        <v>2011</v>
      </c>
      <c r="L149" t="s">
        <v>67</v>
      </c>
    </row>
    <row r="150" spans="1:12" x14ac:dyDescent="0.35">
      <c r="A150" t="s">
        <v>12</v>
      </c>
      <c r="B150" t="s">
        <v>66</v>
      </c>
      <c r="C150" t="s">
        <v>61</v>
      </c>
      <c r="K150">
        <v>2011</v>
      </c>
      <c r="L150" t="s">
        <v>67</v>
      </c>
    </row>
    <row r="151" spans="1:12" x14ac:dyDescent="0.35">
      <c r="A151" t="s">
        <v>12</v>
      </c>
      <c r="B151" t="s">
        <v>66</v>
      </c>
      <c r="C151" t="s">
        <v>27</v>
      </c>
      <c r="D151">
        <v>9.4</v>
      </c>
      <c r="E151">
        <v>710</v>
      </c>
      <c r="F151">
        <v>4.2</v>
      </c>
      <c r="G151">
        <v>57</v>
      </c>
      <c r="I151">
        <v>2193</v>
      </c>
      <c r="K151">
        <v>2011</v>
      </c>
      <c r="L151" t="s">
        <v>67</v>
      </c>
    </row>
    <row r="152" spans="1:12" x14ac:dyDescent="0.35">
      <c r="A152" t="s">
        <v>12</v>
      </c>
      <c r="B152" t="s">
        <v>66</v>
      </c>
      <c r="C152" t="s">
        <v>43</v>
      </c>
      <c r="D152">
        <v>4.8</v>
      </c>
      <c r="E152">
        <v>22170</v>
      </c>
      <c r="F152">
        <v>5.0999999999999996</v>
      </c>
      <c r="G152">
        <v>50014</v>
      </c>
      <c r="H152">
        <v>1001924</v>
      </c>
      <c r="I152">
        <v>123615</v>
      </c>
      <c r="K152">
        <v>2011</v>
      </c>
      <c r="L152" t="s">
        <v>67</v>
      </c>
    </row>
    <row r="153" spans="1:12" x14ac:dyDescent="0.35">
      <c r="A153" t="s">
        <v>12</v>
      </c>
      <c r="B153" t="s">
        <v>66</v>
      </c>
      <c r="C153" t="s">
        <v>26</v>
      </c>
      <c r="D153">
        <v>6.8</v>
      </c>
      <c r="E153">
        <v>412</v>
      </c>
      <c r="F153">
        <v>4.4000000000000004</v>
      </c>
      <c r="G153">
        <v>306</v>
      </c>
      <c r="H153">
        <v>1150</v>
      </c>
      <c r="I153">
        <v>1889</v>
      </c>
      <c r="K153">
        <v>2011</v>
      </c>
      <c r="L153" t="s">
        <v>67</v>
      </c>
    </row>
    <row r="154" spans="1:12" x14ac:dyDescent="0.35">
      <c r="A154" t="s">
        <v>12</v>
      </c>
      <c r="B154" t="s">
        <v>66</v>
      </c>
      <c r="C154" t="s">
        <v>25</v>
      </c>
      <c r="D154">
        <v>4.8</v>
      </c>
      <c r="E154">
        <v>3046</v>
      </c>
      <c r="F154">
        <v>5.0999999999999996</v>
      </c>
      <c r="G154">
        <v>9963</v>
      </c>
      <c r="H154">
        <v>233316</v>
      </c>
      <c r="I154">
        <v>18214</v>
      </c>
      <c r="K154">
        <v>2011</v>
      </c>
      <c r="L154" t="s">
        <v>67</v>
      </c>
    </row>
    <row r="155" spans="1:12" x14ac:dyDescent="0.35">
      <c r="A155" t="s">
        <v>12</v>
      </c>
      <c r="B155" t="s">
        <v>66</v>
      </c>
      <c r="C155" t="s">
        <v>24</v>
      </c>
      <c r="D155">
        <v>3.4</v>
      </c>
      <c r="E155">
        <v>7621</v>
      </c>
      <c r="F155">
        <v>4.9000000000000004</v>
      </c>
      <c r="G155">
        <v>8867</v>
      </c>
      <c r="H155">
        <v>351240</v>
      </c>
      <c r="I155">
        <v>36448</v>
      </c>
      <c r="K155">
        <v>2011</v>
      </c>
      <c r="L155" t="s">
        <v>67</v>
      </c>
    </row>
    <row r="156" spans="1:12" x14ac:dyDescent="0.35">
      <c r="A156" t="s">
        <v>12</v>
      </c>
      <c r="B156" t="s">
        <v>66</v>
      </c>
      <c r="C156" t="s">
        <v>23</v>
      </c>
      <c r="D156">
        <v>6.5</v>
      </c>
      <c r="E156">
        <v>5742</v>
      </c>
      <c r="F156">
        <v>4.2</v>
      </c>
      <c r="G156">
        <v>12579</v>
      </c>
      <c r="H156">
        <v>6558</v>
      </c>
      <c r="I156">
        <v>39911</v>
      </c>
      <c r="K156">
        <v>2011</v>
      </c>
      <c r="L156" t="s">
        <v>67</v>
      </c>
    </row>
    <row r="157" spans="1:12" x14ac:dyDescent="0.35">
      <c r="A157" t="s">
        <v>12</v>
      </c>
      <c r="B157" t="s">
        <v>66</v>
      </c>
      <c r="C157" t="s">
        <v>29</v>
      </c>
      <c r="D157">
        <v>4.4000000000000004</v>
      </c>
      <c r="E157">
        <v>3614</v>
      </c>
      <c r="F157">
        <v>5.5</v>
      </c>
      <c r="G157">
        <v>11528</v>
      </c>
      <c r="H157">
        <v>296609</v>
      </c>
      <c r="I157">
        <v>22314</v>
      </c>
      <c r="K157">
        <v>2011</v>
      </c>
      <c r="L157" t="s">
        <v>67</v>
      </c>
    </row>
    <row r="158" spans="1:12" x14ac:dyDescent="0.35">
      <c r="A158" t="s">
        <v>12</v>
      </c>
      <c r="B158" t="s">
        <v>66</v>
      </c>
      <c r="C158" t="s">
        <v>59</v>
      </c>
      <c r="K158">
        <v>2011</v>
      </c>
      <c r="L158" t="s">
        <v>67</v>
      </c>
    </row>
    <row r="159" spans="1:12" x14ac:dyDescent="0.35">
      <c r="A159" t="s">
        <v>12</v>
      </c>
      <c r="B159" t="s">
        <v>66</v>
      </c>
      <c r="C159" t="s">
        <v>22</v>
      </c>
      <c r="D159">
        <v>4</v>
      </c>
      <c r="E159">
        <v>16801</v>
      </c>
      <c r="F159">
        <v>4.9000000000000004</v>
      </c>
      <c r="G159">
        <v>26004</v>
      </c>
      <c r="H159">
        <v>556295</v>
      </c>
      <c r="I159">
        <v>104566</v>
      </c>
      <c r="K159">
        <v>2011</v>
      </c>
      <c r="L159" t="s">
        <v>67</v>
      </c>
    </row>
    <row r="160" spans="1:12" x14ac:dyDescent="0.35">
      <c r="A160" t="s">
        <v>12</v>
      </c>
      <c r="B160" t="s">
        <v>66</v>
      </c>
      <c r="C160" t="s">
        <v>20</v>
      </c>
      <c r="D160">
        <v>9</v>
      </c>
      <c r="E160">
        <v>50</v>
      </c>
      <c r="F160">
        <v>4.5</v>
      </c>
      <c r="G160">
        <v>4</v>
      </c>
      <c r="H160">
        <v>352</v>
      </c>
      <c r="I160">
        <v>307</v>
      </c>
      <c r="K160">
        <v>2011</v>
      </c>
      <c r="L160" t="s">
        <v>67</v>
      </c>
    </row>
    <row r="161" spans="1:12" x14ac:dyDescent="0.35">
      <c r="A161" t="s">
        <v>12</v>
      </c>
      <c r="B161" t="s">
        <v>66</v>
      </c>
      <c r="C161" t="s">
        <v>19</v>
      </c>
      <c r="D161">
        <v>3.4</v>
      </c>
      <c r="E161">
        <v>3446</v>
      </c>
      <c r="F161">
        <v>4.4000000000000004</v>
      </c>
      <c r="G161">
        <v>19769</v>
      </c>
      <c r="H161">
        <v>213249</v>
      </c>
      <c r="I161">
        <v>22146</v>
      </c>
      <c r="K161">
        <v>2011</v>
      </c>
      <c r="L161" t="s">
        <v>67</v>
      </c>
    </row>
    <row r="162" spans="1:12" x14ac:dyDescent="0.35">
      <c r="A162" t="s">
        <v>12</v>
      </c>
      <c r="B162" t="s">
        <v>66</v>
      </c>
      <c r="C162" t="s">
        <v>34</v>
      </c>
      <c r="D162">
        <v>3.7</v>
      </c>
      <c r="E162">
        <v>2480</v>
      </c>
      <c r="F162">
        <v>5.4</v>
      </c>
      <c r="G162">
        <v>7696</v>
      </c>
      <c r="H162">
        <v>222214</v>
      </c>
      <c r="I162">
        <v>14141</v>
      </c>
      <c r="K162">
        <v>2011</v>
      </c>
      <c r="L162" t="s">
        <v>67</v>
      </c>
    </row>
    <row r="163" spans="1:12" x14ac:dyDescent="0.35">
      <c r="A163" t="s">
        <v>12</v>
      </c>
      <c r="B163" t="s">
        <v>66</v>
      </c>
      <c r="C163" t="s">
        <v>18</v>
      </c>
      <c r="D163">
        <v>6</v>
      </c>
      <c r="E163">
        <v>47</v>
      </c>
      <c r="F163">
        <v>3.5</v>
      </c>
      <c r="G163">
        <v>1</v>
      </c>
      <c r="H163">
        <v>176</v>
      </c>
      <c r="I163">
        <v>650</v>
      </c>
      <c r="K163">
        <v>2011</v>
      </c>
      <c r="L163" t="s">
        <v>67</v>
      </c>
    </row>
    <row r="164" spans="1:12" x14ac:dyDescent="0.35">
      <c r="A164" t="s">
        <v>12</v>
      </c>
      <c r="B164" t="s">
        <v>66</v>
      </c>
      <c r="C164" t="s">
        <v>41</v>
      </c>
      <c r="D164">
        <v>8.1999999999999993</v>
      </c>
      <c r="E164">
        <v>219</v>
      </c>
      <c r="G164">
        <v>117</v>
      </c>
      <c r="I164">
        <v>1156</v>
      </c>
      <c r="K164">
        <v>2011</v>
      </c>
      <c r="L164" t="s">
        <v>67</v>
      </c>
    </row>
    <row r="165" spans="1:12" x14ac:dyDescent="0.35">
      <c r="A165" t="s">
        <v>12</v>
      </c>
      <c r="B165" t="s">
        <v>66</v>
      </c>
      <c r="C165" t="s">
        <v>38</v>
      </c>
      <c r="D165">
        <v>5.0999999999999996</v>
      </c>
      <c r="E165">
        <v>2067</v>
      </c>
      <c r="F165">
        <v>5.4</v>
      </c>
      <c r="G165">
        <v>6941</v>
      </c>
      <c r="H165">
        <v>169389</v>
      </c>
      <c r="I165">
        <v>12379</v>
      </c>
      <c r="K165">
        <v>2011</v>
      </c>
      <c r="L165" t="s">
        <v>67</v>
      </c>
    </row>
    <row r="166" spans="1:12" x14ac:dyDescent="0.35">
      <c r="A166" t="s">
        <v>12</v>
      </c>
      <c r="B166" t="s">
        <v>66</v>
      </c>
      <c r="C166" t="s">
        <v>57</v>
      </c>
      <c r="K166">
        <v>2011</v>
      </c>
      <c r="L166" t="s">
        <v>67</v>
      </c>
    </row>
    <row r="167" spans="1:12" x14ac:dyDescent="0.35">
      <c r="A167" t="s">
        <v>12</v>
      </c>
      <c r="B167" t="s">
        <v>66</v>
      </c>
      <c r="C167" t="s">
        <v>16</v>
      </c>
      <c r="D167">
        <v>6.8</v>
      </c>
      <c r="E167">
        <v>220</v>
      </c>
      <c r="F167">
        <v>3.7</v>
      </c>
      <c r="G167">
        <v>18</v>
      </c>
      <c r="H167">
        <v>2560</v>
      </c>
      <c r="I167">
        <v>1050</v>
      </c>
      <c r="K167">
        <v>2011</v>
      </c>
      <c r="L167" t="s">
        <v>67</v>
      </c>
    </row>
    <row r="168" spans="1:12" x14ac:dyDescent="0.35">
      <c r="A168" t="s">
        <v>12</v>
      </c>
      <c r="B168" t="s">
        <v>66</v>
      </c>
      <c r="C168" t="s">
        <v>64</v>
      </c>
      <c r="K168">
        <v>2011</v>
      </c>
      <c r="L168" t="s">
        <v>67</v>
      </c>
    </row>
    <row r="169" spans="1:12" x14ac:dyDescent="0.35">
      <c r="A169" t="s">
        <v>12</v>
      </c>
      <c r="B169" t="s">
        <v>66</v>
      </c>
      <c r="C169" t="s">
        <v>14</v>
      </c>
      <c r="D169">
        <v>4.8</v>
      </c>
      <c r="E169">
        <v>336</v>
      </c>
      <c r="F169">
        <v>3</v>
      </c>
      <c r="G169">
        <v>856</v>
      </c>
      <c r="I169">
        <v>2747</v>
      </c>
      <c r="K169">
        <v>2011</v>
      </c>
      <c r="L169" t="s">
        <v>67</v>
      </c>
    </row>
    <row r="170" spans="1:12" x14ac:dyDescent="0.35">
      <c r="A170" t="s">
        <v>12</v>
      </c>
      <c r="B170" t="s">
        <v>66</v>
      </c>
      <c r="C170" t="s">
        <v>42</v>
      </c>
      <c r="D170">
        <v>4.9000000000000004</v>
      </c>
      <c r="E170">
        <v>3325</v>
      </c>
      <c r="F170">
        <v>5.5</v>
      </c>
      <c r="G170">
        <v>9718</v>
      </c>
      <c r="H170">
        <v>309167</v>
      </c>
      <c r="I170">
        <v>21226</v>
      </c>
      <c r="K170">
        <v>2011</v>
      </c>
      <c r="L170" t="s">
        <v>67</v>
      </c>
    </row>
    <row r="171" spans="1:12" x14ac:dyDescent="0.35">
      <c r="A171" t="s">
        <v>12</v>
      </c>
      <c r="B171" t="s">
        <v>66</v>
      </c>
      <c r="C171" t="s">
        <v>52</v>
      </c>
      <c r="D171">
        <v>8.1</v>
      </c>
      <c r="E171">
        <v>704</v>
      </c>
      <c r="F171">
        <v>4.0999999999999996</v>
      </c>
      <c r="G171">
        <v>589</v>
      </c>
      <c r="H171">
        <v>13427</v>
      </c>
      <c r="I171">
        <v>3690</v>
      </c>
      <c r="K171">
        <v>2011</v>
      </c>
      <c r="L171" t="s">
        <v>67</v>
      </c>
    </row>
    <row r="172" spans="1:12" x14ac:dyDescent="0.35">
      <c r="A172" t="s">
        <v>12</v>
      </c>
      <c r="B172" t="s">
        <v>66</v>
      </c>
      <c r="C172" t="s">
        <v>50</v>
      </c>
      <c r="D172">
        <v>4.7</v>
      </c>
      <c r="E172">
        <v>3992</v>
      </c>
      <c r="F172">
        <v>5.3</v>
      </c>
      <c r="G172">
        <v>4745</v>
      </c>
      <c r="H172">
        <v>153477</v>
      </c>
      <c r="I172">
        <v>18714</v>
      </c>
      <c r="K172">
        <v>2011</v>
      </c>
      <c r="L172" t="s">
        <v>67</v>
      </c>
    </row>
    <row r="173" spans="1:12" x14ac:dyDescent="0.35">
      <c r="A173" t="s">
        <v>12</v>
      </c>
      <c r="B173" t="s">
        <v>66</v>
      </c>
      <c r="C173" t="s">
        <v>17</v>
      </c>
      <c r="D173">
        <v>6.3</v>
      </c>
      <c r="E173">
        <v>484</v>
      </c>
      <c r="F173">
        <v>4.0999999999999996</v>
      </c>
      <c r="G173">
        <v>944</v>
      </c>
      <c r="H173">
        <v>14875</v>
      </c>
      <c r="I173">
        <v>2316</v>
      </c>
      <c r="K173">
        <v>2011</v>
      </c>
      <c r="L173" t="s">
        <v>67</v>
      </c>
    </row>
    <row r="174" spans="1:12" x14ac:dyDescent="0.35">
      <c r="A174" t="s">
        <v>12</v>
      </c>
      <c r="B174" t="s">
        <v>66</v>
      </c>
      <c r="C174" t="s">
        <v>46</v>
      </c>
      <c r="D174">
        <v>4.8</v>
      </c>
      <c r="E174">
        <v>62</v>
      </c>
      <c r="F174">
        <v>4.0999999999999996</v>
      </c>
      <c r="G174">
        <v>9</v>
      </c>
      <c r="H174">
        <v>464</v>
      </c>
      <c r="I174">
        <v>517</v>
      </c>
      <c r="K174">
        <v>2011</v>
      </c>
      <c r="L174" t="s">
        <v>67</v>
      </c>
    </row>
    <row r="175" spans="1:12" x14ac:dyDescent="0.35">
      <c r="A175" t="s">
        <v>12</v>
      </c>
      <c r="B175" t="s">
        <v>66</v>
      </c>
      <c r="C175" t="s">
        <v>49</v>
      </c>
      <c r="D175">
        <v>5</v>
      </c>
      <c r="E175">
        <v>4184</v>
      </c>
      <c r="F175">
        <v>5.0999999999999996</v>
      </c>
      <c r="G175">
        <v>7686</v>
      </c>
      <c r="H175">
        <v>151141</v>
      </c>
      <c r="I175">
        <v>21009</v>
      </c>
      <c r="K175">
        <v>2011</v>
      </c>
      <c r="L175" t="s">
        <v>67</v>
      </c>
    </row>
    <row r="176" spans="1:12" x14ac:dyDescent="0.35">
      <c r="A176" t="s">
        <v>12</v>
      </c>
      <c r="B176" t="s">
        <v>66</v>
      </c>
      <c r="C176" t="s">
        <v>48</v>
      </c>
      <c r="E176">
        <v>381</v>
      </c>
      <c r="F176">
        <v>4.5999999999999996</v>
      </c>
      <c r="G176">
        <v>57</v>
      </c>
      <c r="H176">
        <v>11161</v>
      </c>
      <c r="I176">
        <v>878</v>
      </c>
      <c r="K176">
        <v>2011</v>
      </c>
      <c r="L176" t="s">
        <v>67</v>
      </c>
    </row>
    <row r="177" spans="1:12" x14ac:dyDescent="0.35">
      <c r="A177" t="s">
        <v>12</v>
      </c>
      <c r="B177" t="s">
        <v>68</v>
      </c>
      <c r="C177" t="s">
        <v>69</v>
      </c>
      <c r="D177">
        <v>3.6</v>
      </c>
      <c r="E177">
        <v>7831</v>
      </c>
      <c r="F177">
        <v>4.8</v>
      </c>
      <c r="G177">
        <v>9391</v>
      </c>
      <c r="H177">
        <v>368679</v>
      </c>
      <c r="I177">
        <v>36249</v>
      </c>
      <c r="K177">
        <v>2012</v>
      </c>
      <c r="L177" t="s">
        <v>70</v>
      </c>
    </row>
    <row r="178" spans="1:12" x14ac:dyDescent="0.35">
      <c r="A178" t="s">
        <v>12</v>
      </c>
      <c r="B178" t="s">
        <v>68</v>
      </c>
      <c r="C178" t="s">
        <v>23</v>
      </c>
      <c r="D178">
        <v>6.5</v>
      </c>
      <c r="E178">
        <v>5847</v>
      </c>
      <c r="F178">
        <v>4.3</v>
      </c>
      <c r="G178">
        <v>12156</v>
      </c>
      <c r="I178">
        <v>39712</v>
      </c>
      <c r="K178">
        <v>2012</v>
      </c>
      <c r="L178" t="s">
        <v>70</v>
      </c>
    </row>
    <row r="179" spans="1:12" x14ac:dyDescent="0.35">
      <c r="A179" t="s">
        <v>12</v>
      </c>
      <c r="B179" t="s">
        <v>68</v>
      </c>
      <c r="C179" t="s">
        <v>38</v>
      </c>
      <c r="D179">
        <v>5</v>
      </c>
      <c r="E179">
        <v>2107</v>
      </c>
      <c r="F179">
        <v>5.4</v>
      </c>
      <c r="G179">
        <v>5880</v>
      </c>
      <c r="H179">
        <v>167153</v>
      </c>
      <c r="I179">
        <v>13075</v>
      </c>
      <c r="K179">
        <v>2012</v>
      </c>
      <c r="L179" t="s">
        <v>70</v>
      </c>
    </row>
    <row r="180" spans="1:12" x14ac:dyDescent="0.35">
      <c r="A180" t="s">
        <v>12</v>
      </c>
      <c r="B180" t="s">
        <v>68</v>
      </c>
      <c r="C180" t="s">
        <v>61</v>
      </c>
      <c r="E180">
        <v>313</v>
      </c>
      <c r="F180">
        <v>2.4</v>
      </c>
      <c r="G180">
        <v>878</v>
      </c>
      <c r="I180">
        <v>2313</v>
      </c>
      <c r="K180">
        <v>2012</v>
      </c>
      <c r="L180" t="s">
        <v>70</v>
      </c>
    </row>
    <row r="181" spans="1:12" x14ac:dyDescent="0.35">
      <c r="A181" t="s">
        <v>12</v>
      </c>
      <c r="B181" t="s">
        <v>68</v>
      </c>
      <c r="C181" t="s">
        <v>22</v>
      </c>
      <c r="D181">
        <v>3.1</v>
      </c>
      <c r="E181">
        <v>17497</v>
      </c>
      <c r="F181">
        <v>4.9000000000000004</v>
      </c>
      <c r="G181">
        <v>26064</v>
      </c>
      <c r="H181">
        <v>536151</v>
      </c>
      <c r="I181">
        <v>100052</v>
      </c>
      <c r="K181">
        <v>2012</v>
      </c>
      <c r="L181" t="s">
        <v>70</v>
      </c>
    </row>
    <row r="182" spans="1:12" x14ac:dyDescent="0.35">
      <c r="A182" t="s">
        <v>12</v>
      </c>
      <c r="B182" t="s">
        <v>68</v>
      </c>
      <c r="C182" t="s">
        <v>30</v>
      </c>
      <c r="D182">
        <v>3.1</v>
      </c>
      <c r="E182">
        <v>3755</v>
      </c>
      <c r="F182">
        <v>4.8</v>
      </c>
      <c r="G182">
        <v>4527</v>
      </c>
      <c r="H182">
        <v>164849</v>
      </c>
      <c r="I182">
        <v>18974</v>
      </c>
      <c r="K182">
        <v>2012</v>
      </c>
      <c r="L182" t="s">
        <v>70</v>
      </c>
    </row>
    <row r="183" spans="1:12" x14ac:dyDescent="0.35">
      <c r="A183" t="s">
        <v>12</v>
      </c>
      <c r="B183" t="s">
        <v>68</v>
      </c>
      <c r="C183" t="s">
        <v>20</v>
      </c>
      <c r="D183">
        <v>9</v>
      </c>
      <c r="E183">
        <v>52</v>
      </c>
      <c r="F183">
        <v>3.6</v>
      </c>
      <c r="G183">
        <v>3</v>
      </c>
      <c r="H183">
        <v>275</v>
      </c>
      <c r="I183">
        <v>288</v>
      </c>
      <c r="K183">
        <v>2012</v>
      </c>
      <c r="L183" t="s">
        <v>70</v>
      </c>
    </row>
    <row r="184" spans="1:12" x14ac:dyDescent="0.35">
      <c r="A184" t="s">
        <v>12</v>
      </c>
      <c r="B184" t="s">
        <v>68</v>
      </c>
      <c r="C184" t="s">
        <v>64</v>
      </c>
      <c r="K184">
        <v>2012</v>
      </c>
      <c r="L184" t="s">
        <v>70</v>
      </c>
    </row>
    <row r="185" spans="1:12" x14ac:dyDescent="0.35">
      <c r="A185" t="s">
        <v>12</v>
      </c>
      <c r="B185" t="s">
        <v>68</v>
      </c>
      <c r="C185" t="s">
        <v>52</v>
      </c>
      <c r="D185">
        <v>7.4</v>
      </c>
      <c r="E185">
        <v>720</v>
      </c>
      <c r="F185">
        <v>4</v>
      </c>
      <c r="G185">
        <v>672</v>
      </c>
      <c r="H185">
        <v>15614</v>
      </c>
      <c r="I185">
        <v>3410</v>
      </c>
      <c r="K185">
        <v>2012</v>
      </c>
      <c r="L185" t="s">
        <v>70</v>
      </c>
    </row>
    <row r="186" spans="1:12" x14ac:dyDescent="0.35">
      <c r="A186" t="s">
        <v>12</v>
      </c>
      <c r="B186" t="s">
        <v>68</v>
      </c>
      <c r="C186" t="s">
        <v>34</v>
      </c>
      <c r="D186">
        <v>4.3</v>
      </c>
      <c r="E186">
        <v>2409</v>
      </c>
      <c r="F186">
        <v>5.4</v>
      </c>
      <c r="G186">
        <v>6797</v>
      </c>
      <c r="H186">
        <v>188091</v>
      </c>
      <c r="I186">
        <v>14735</v>
      </c>
      <c r="K186">
        <v>2012</v>
      </c>
      <c r="L186" t="s">
        <v>70</v>
      </c>
    </row>
    <row r="187" spans="1:12" x14ac:dyDescent="0.35">
      <c r="A187" t="s">
        <v>12</v>
      </c>
      <c r="B187" t="s">
        <v>68</v>
      </c>
      <c r="C187" t="s">
        <v>50</v>
      </c>
      <c r="D187">
        <v>5.0999999999999996</v>
      </c>
      <c r="E187">
        <v>4058</v>
      </c>
      <c r="F187">
        <v>5.2</v>
      </c>
      <c r="G187">
        <v>4836</v>
      </c>
      <c r="H187">
        <v>154908</v>
      </c>
      <c r="I187">
        <v>18455</v>
      </c>
      <c r="K187">
        <v>2012</v>
      </c>
      <c r="L187" t="s">
        <v>70</v>
      </c>
    </row>
    <row r="188" spans="1:12" x14ac:dyDescent="0.35">
      <c r="A188" t="s">
        <v>12</v>
      </c>
      <c r="B188" t="s">
        <v>68</v>
      </c>
      <c r="C188" t="s">
        <v>45</v>
      </c>
      <c r="D188">
        <v>7.2</v>
      </c>
      <c r="E188">
        <v>1832</v>
      </c>
      <c r="F188">
        <v>3.3</v>
      </c>
      <c r="G188">
        <v>4352</v>
      </c>
      <c r="H188">
        <v>43985</v>
      </c>
      <c r="I188">
        <v>10879</v>
      </c>
      <c r="K188">
        <v>2012</v>
      </c>
      <c r="L188" t="s">
        <v>70</v>
      </c>
    </row>
    <row r="189" spans="1:12" x14ac:dyDescent="0.35">
      <c r="A189" t="s">
        <v>12</v>
      </c>
      <c r="B189" t="s">
        <v>68</v>
      </c>
      <c r="C189" t="s">
        <v>49</v>
      </c>
      <c r="E189">
        <v>4523</v>
      </c>
      <c r="F189">
        <v>5.0999999999999996</v>
      </c>
      <c r="G189">
        <v>8213</v>
      </c>
      <c r="H189">
        <v>171826</v>
      </c>
      <c r="I189">
        <v>22262</v>
      </c>
      <c r="K189">
        <v>2012</v>
      </c>
      <c r="L189" t="s">
        <v>70</v>
      </c>
    </row>
    <row r="190" spans="1:12" x14ac:dyDescent="0.35">
      <c r="A190" t="s">
        <v>12</v>
      </c>
      <c r="B190" t="s">
        <v>68</v>
      </c>
      <c r="C190" t="s">
        <v>29</v>
      </c>
      <c r="D190">
        <v>4.7</v>
      </c>
      <c r="E190">
        <v>3678</v>
      </c>
      <c r="F190">
        <v>5.6</v>
      </c>
      <c r="G190">
        <v>10617</v>
      </c>
      <c r="H190">
        <v>264658</v>
      </c>
      <c r="I190">
        <v>22106</v>
      </c>
      <c r="K190">
        <v>2012</v>
      </c>
      <c r="L190" t="s">
        <v>70</v>
      </c>
    </row>
    <row r="191" spans="1:12" x14ac:dyDescent="0.35">
      <c r="A191" t="s">
        <v>12</v>
      </c>
      <c r="B191" t="s">
        <v>68</v>
      </c>
      <c r="C191" t="s">
        <v>48</v>
      </c>
      <c r="D191">
        <v>4.5999999999999996</v>
      </c>
      <c r="E191">
        <v>376</v>
      </c>
      <c r="F191">
        <v>4.5999999999999996</v>
      </c>
      <c r="G191">
        <v>57</v>
      </c>
      <c r="I191">
        <v>770</v>
      </c>
      <c r="K191">
        <v>2012</v>
      </c>
      <c r="L191" t="s">
        <v>70</v>
      </c>
    </row>
    <row r="192" spans="1:12" x14ac:dyDescent="0.35">
      <c r="A192" t="s">
        <v>12</v>
      </c>
      <c r="B192" t="s">
        <v>68</v>
      </c>
      <c r="C192" t="s">
        <v>18</v>
      </c>
      <c r="D192">
        <v>4.3</v>
      </c>
      <c r="E192">
        <v>34</v>
      </c>
      <c r="F192">
        <v>3.2</v>
      </c>
      <c r="G192">
        <v>1</v>
      </c>
      <c r="I192">
        <v>418</v>
      </c>
      <c r="K192">
        <v>2012</v>
      </c>
      <c r="L192" t="s">
        <v>70</v>
      </c>
    </row>
    <row r="193" spans="1:12" x14ac:dyDescent="0.35">
      <c r="A193" t="s">
        <v>12</v>
      </c>
      <c r="B193" t="s">
        <v>68</v>
      </c>
      <c r="C193" t="s">
        <v>14</v>
      </c>
      <c r="D193">
        <v>5.9</v>
      </c>
      <c r="E193">
        <v>336</v>
      </c>
      <c r="F193">
        <v>3</v>
      </c>
      <c r="G193">
        <v>858</v>
      </c>
      <c r="I193">
        <v>2649</v>
      </c>
      <c r="K193">
        <v>2012</v>
      </c>
      <c r="L193" t="s">
        <v>70</v>
      </c>
    </row>
    <row r="194" spans="1:12" x14ac:dyDescent="0.35">
      <c r="A194" t="s">
        <v>12</v>
      </c>
      <c r="B194" t="s">
        <v>68</v>
      </c>
      <c r="C194" t="s">
        <v>57</v>
      </c>
      <c r="D194">
        <v>8</v>
      </c>
      <c r="E194">
        <v>981</v>
      </c>
      <c r="F194">
        <v>4.4000000000000004</v>
      </c>
      <c r="H194">
        <v>1090</v>
      </c>
      <c r="I194">
        <v>4397</v>
      </c>
      <c r="K194">
        <v>2012</v>
      </c>
      <c r="L194" t="s">
        <v>70</v>
      </c>
    </row>
    <row r="195" spans="1:12" x14ac:dyDescent="0.35">
      <c r="A195" t="s">
        <v>12</v>
      </c>
      <c r="B195" t="s">
        <v>68</v>
      </c>
      <c r="C195" t="s">
        <v>51</v>
      </c>
      <c r="D195">
        <v>4.0999999999999996</v>
      </c>
      <c r="E195">
        <v>4480</v>
      </c>
      <c r="F195">
        <v>4.9000000000000004</v>
      </c>
      <c r="G195">
        <v>3129</v>
      </c>
      <c r="H195">
        <v>211371</v>
      </c>
      <c r="I195">
        <v>19822</v>
      </c>
      <c r="K195">
        <v>2012</v>
      </c>
      <c r="L195" t="s">
        <v>70</v>
      </c>
    </row>
    <row r="196" spans="1:12" x14ac:dyDescent="0.35">
      <c r="A196" t="s">
        <v>12</v>
      </c>
      <c r="B196" t="s">
        <v>68</v>
      </c>
      <c r="C196" t="s">
        <v>25</v>
      </c>
      <c r="D196">
        <v>4.5999999999999996</v>
      </c>
      <c r="E196">
        <v>3129</v>
      </c>
      <c r="F196">
        <v>5.2</v>
      </c>
      <c r="G196">
        <v>9142</v>
      </c>
      <c r="H196">
        <v>223705</v>
      </c>
      <c r="I196">
        <v>17555</v>
      </c>
      <c r="K196">
        <v>2012</v>
      </c>
      <c r="L196" t="s">
        <v>70</v>
      </c>
    </row>
    <row r="197" spans="1:12" x14ac:dyDescent="0.35">
      <c r="A197" t="s">
        <v>12</v>
      </c>
      <c r="B197" t="s">
        <v>68</v>
      </c>
      <c r="C197" t="s">
        <v>71</v>
      </c>
      <c r="K197">
        <v>2012</v>
      </c>
      <c r="L197" t="s">
        <v>70</v>
      </c>
    </row>
    <row r="198" spans="1:12" x14ac:dyDescent="0.35">
      <c r="A198" t="s">
        <v>12</v>
      </c>
      <c r="B198" t="s">
        <v>68</v>
      </c>
      <c r="C198" t="s">
        <v>17</v>
      </c>
      <c r="D198">
        <v>6.3</v>
      </c>
      <c r="E198">
        <v>477</v>
      </c>
      <c r="F198">
        <v>4.0999999999999996</v>
      </c>
      <c r="G198">
        <v>948</v>
      </c>
      <c r="H198">
        <v>16040</v>
      </c>
      <c r="I198">
        <v>2244</v>
      </c>
      <c r="K198">
        <v>2012</v>
      </c>
      <c r="L198" t="s">
        <v>70</v>
      </c>
    </row>
    <row r="199" spans="1:12" x14ac:dyDescent="0.35">
      <c r="A199" t="s">
        <v>12</v>
      </c>
      <c r="B199" t="s">
        <v>68</v>
      </c>
      <c r="C199" t="s">
        <v>65</v>
      </c>
      <c r="K199">
        <v>2012</v>
      </c>
      <c r="L199" t="s">
        <v>70</v>
      </c>
    </row>
    <row r="200" spans="1:12" x14ac:dyDescent="0.35">
      <c r="A200" t="s">
        <v>12</v>
      </c>
      <c r="B200" t="s">
        <v>68</v>
      </c>
      <c r="C200" t="s">
        <v>39</v>
      </c>
      <c r="D200">
        <v>6.6</v>
      </c>
      <c r="E200">
        <v>4484</v>
      </c>
      <c r="F200">
        <v>2.9</v>
      </c>
      <c r="G200">
        <v>14096</v>
      </c>
      <c r="H200">
        <v>114458</v>
      </c>
      <c r="I200">
        <v>36620</v>
      </c>
      <c r="K200">
        <v>2012</v>
      </c>
      <c r="L200" t="s">
        <v>70</v>
      </c>
    </row>
    <row r="201" spans="1:12" x14ac:dyDescent="0.35">
      <c r="A201" t="s">
        <v>12</v>
      </c>
      <c r="B201" t="s">
        <v>68</v>
      </c>
      <c r="C201" t="s">
        <v>46</v>
      </c>
      <c r="D201">
        <v>5.9</v>
      </c>
      <c r="E201">
        <v>63</v>
      </c>
      <c r="F201">
        <v>5</v>
      </c>
      <c r="G201">
        <v>9</v>
      </c>
      <c r="H201">
        <v>393</v>
      </c>
      <c r="I201">
        <v>480</v>
      </c>
      <c r="K201">
        <v>2012</v>
      </c>
      <c r="L201" t="s">
        <v>70</v>
      </c>
    </row>
    <row r="202" spans="1:12" x14ac:dyDescent="0.35">
      <c r="A202" t="s">
        <v>12</v>
      </c>
      <c r="B202" t="s">
        <v>68</v>
      </c>
      <c r="C202" t="s">
        <v>21</v>
      </c>
      <c r="D202">
        <v>3</v>
      </c>
      <c r="E202">
        <v>1042</v>
      </c>
      <c r="F202">
        <v>5.0999999999999996</v>
      </c>
      <c r="G202">
        <v>242</v>
      </c>
      <c r="H202">
        <v>67143</v>
      </c>
      <c r="I202">
        <v>7002</v>
      </c>
      <c r="K202">
        <v>2012</v>
      </c>
      <c r="L202" t="s">
        <v>70</v>
      </c>
    </row>
    <row r="203" spans="1:12" x14ac:dyDescent="0.35">
      <c r="A203" t="s">
        <v>12</v>
      </c>
      <c r="B203" t="s">
        <v>68</v>
      </c>
      <c r="C203" t="s">
        <v>47</v>
      </c>
      <c r="E203">
        <v>8893</v>
      </c>
      <c r="F203">
        <v>5.2</v>
      </c>
      <c r="G203">
        <v>5265</v>
      </c>
      <c r="H203">
        <v>384369</v>
      </c>
      <c r="I203">
        <v>27172</v>
      </c>
      <c r="K203">
        <v>2012</v>
      </c>
      <c r="L203" t="s">
        <v>70</v>
      </c>
    </row>
    <row r="204" spans="1:12" x14ac:dyDescent="0.35">
      <c r="A204" t="s">
        <v>12</v>
      </c>
      <c r="B204" t="s">
        <v>68</v>
      </c>
      <c r="C204" t="s">
        <v>16</v>
      </c>
      <c r="D204">
        <v>5.5</v>
      </c>
      <c r="E204">
        <v>233</v>
      </c>
      <c r="F204">
        <v>3.8</v>
      </c>
      <c r="G204">
        <v>15</v>
      </c>
      <c r="I204">
        <v>1050</v>
      </c>
      <c r="K204">
        <v>2012</v>
      </c>
      <c r="L204" t="s">
        <v>70</v>
      </c>
    </row>
    <row r="205" spans="1:12" x14ac:dyDescent="0.35">
      <c r="A205" t="s">
        <v>12</v>
      </c>
      <c r="B205" t="s">
        <v>68</v>
      </c>
      <c r="C205" t="s">
        <v>44</v>
      </c>
      <c r="D205">
        <v>6.7</v>
      </c>
      <c r="E205">
        <v>1120</v>
      </c>
      <c r="F205">
        <v>3.2</v>
      </c>
      <c r="G205">
        <v>2396</v>
      </c>
      <c r="H205">
        <v>19023</v>
      </c>
      <c r="I205">
        <v>5739</v>
      </c>
      <c r="K205">
        <v>2012</v>
      </c>
      <c r="L205" t="s">
        <v>70</v>
      </c>
    </row>
    <row r="206" spans="1:12" x14ac:dyDescent="0.35">
      <c r="A206" t="s">
        <v>12</v>
      </c>
      <c r="B206" t="s">
        <v>68</v>
      </c>
      <c r="C206" t="s">
        <v>55</v>
      </c>
      <c r="D206">
        <v>4</v>
      </c>
      <c r="E206">
        <v>1215</v>
      </c>
      <c r="F206">
        <v>4.7</v>
      </c>
      <c r="G206">
        <v>359</v>
      </c>
      <c r="H206">
        <v>1298</v>
      </c>
      <c r="I206">
        <v>7588</v>
      </c>
      <c r="K206">
        <v>2012</v>
      </c>
      <c r="L206" t="s">
        <v>70</v>
      </c>
    </row>
    <row r="207" spans="1:12" x14ac:dyDescent="0.35">
      <c r="A207" t="s">
        <v>12</v>
      </c>
      <c r="B207" t="s">
        <v>68</v>
      </c>
      <c r="C207" t="s">
        <v>43</v>
      </c>
      <c r="E207">
        <v>22477</v>
      </c>
      <c r="F207">
        <v>5.2</v>
      </c>
      <c r="G207">
        <v>51673</v>
      </c>
      <c r="H207">
        <v>1017168</v>
      </c>
      <c r="I207">
        <v>122287</v>
      </c>
      <c r="K207">
        <v>2012</v>
      </c>
      <c r="L207" t="s">
        <v>70</v>
      </c>
    </row>
    <row r="208" spans="1:12" x14ac:dyDescent="0.35">
      <c r="A208" t="s">
        <v>12</v>
      </c>
      <c r="B208" t="s">
        <v>68</v>
      </c>
      <c r="C208" t="s">
        <v>41</v>
      </c>
      <c r="D208">
        <v>8.1999999999999993</v>
      </c>
      <c r="E208">
        <v>227</v>
      </c>
      <c r="F208">
        <v>3.5</v>
      </c>
      <c r="G208">
        <v>133</v>
      </c>
      <c r="H208">
        <v>90</v>
      </c>
      <c r="I208">
        <v>858</v>
      </c>
      <c r="K208">
        <v>2012</v>
      </c>
      <c r="L208" t="s">
        <v>70</v>
      </c>
    </row>
    <row r="209" spans="1:12" x14ac:dyDescent="0.35">
      <c r="A209" t="s">
        <v>12</v>
      </c>
      <c r="B209" t="s">
        <v>68</v>
      </c>
      <c r="C209" t="s">
        <v>72</v>
      </c>
      <c r="K209">
        <v>2012</v>
      </c>
      <c r="L209" t="s">
        <v>70</v>
      </c>
    </row>
    <row r="210" spans="1:12" x14ac:dyDescent="0.35">
      <c r="A210" t="s">
        <v>12</v>
      </c>
      <c r="B210" t="s">
        <v>68</v>
      </c>
      <c r="C210" t="s">
        <v>58</v>
      </c>
      <c r="D210">
        <v>7</v>
      </c>
      <c r="E210">
        <v>1201</v>
      </c>
      <c r="F210">
        <v>3.3</v>
      </c>
      <c r="G210">
        <v>1252</v>
      </c>
      <c r="H210">
        <v>45132</v>
      </c>
      <c r="I210">
        <v>2500</v>
      </c>
      <c r="K210">
        <v>2012</v>
      </c>
      <c r="L210" t="s">
        <v>70</v>
      </c>
    </row>
    <row r="211" spans="1:12" x14ac:dyDescent="0.35">
      <c r="A211" t="s">
        <v>12</v>
      </c>
      <c r="B211" t="s">
        <v>68</v>
      </c>
      <c r="C211" t="s">
        <v>60</v>
      </c>
      <c r="D211">
        <v>7</v>
      </c>
      <c r="E211">
        <v>95</v>
      </c>
      <c r="F211">
        <v>4.3</v>
      </c>
      <c r="G211">
        <v>13</v>
      </c>
      <c r="H211">
        <v>441</v>
      </c>
      <c r="I211">
        <v>870</v>
      </c>
      <c r="K211">
        <v>2012</v>
      </c>
      <c r="L211" t="s">
        <v>70</v>
      </c>
    </row>
    <row r="212" spans="1:12" x14ac:dyDescent="0.35">
      <c r="A212" t="s">
        <v>12</v>
      </c>
      <c r="B212" t="s">
        <v>68</v>
      </c>
      <c r="C212" t="s">
        <v>73</v>
      </c>
      <c r="K212">
        <v>2012</v>
      </c>
      <c r="L212" t="s">
        <v>70</v>
      </c>
    </row>
    <row r="213" spans="1:12" x14ac:dyDescent="0.35">
      <c r="A213" t="s">
        <v>12</v>
      </c>
      <c r="B213" t="s">
        <v>68</v>
      </c>
      <c r="C213" t="s">
        <v>40</v>
      </c>
      <c r="K213">
        <v>2012</v>
      </c>
      <c r="L213" t="s">
        <v>70</v>
      </c>
    </row>
    <row r="214" spans="1:12" x14ac:dyDescent="0.35">
      <c r="A214" t="s">
        <v>12</v>
      </c>
      <c r="B214" t="s">
        <v>68</v>
      </c>
      <c r="C214" t="s">
        <v>56</v>
      </c>
      <c r="D214">
        <v>8</v>
      </c>
      <c r="E214">
        <v>207</v>
      </c>
      <c r="F214">
        <v>3.3</v>
      </c>
      <c r="G214">
        <v>0.3</v>
      </c>
      <c r="H214">
        <v>78</v>
      </c>
      <c r="I214">
        <v>809</v>
      </c>
      <c r="K214">
        <v>2012</v>
      </c>
      <c r="L214" t="s">
        <v>70</v>
      </c>
    </row>
    <row r="215" spans="1:12" x14ac:dyDescent="0.35">
      <c r="A215" t="s">
        <v>12</v>
      </c>
      <c r="B215" t="s">
        <v>68</v>
      </c>
      <c r="C215" t="s">
        <v>26</v>
      </c>
      <c r="D215">
        <v>6.5</v>
      </c>
      <c r="E215">
        <v>425</v>
      </c>
      <c r="F215">
        <v>4.5</v>
      </c>
      <c r="G215">
        <v>301</v>
      </c>
      <c r="H215">
        <v>7902</v>
      </c>
      <c r="I215">
        <v>1861</v>
      </c>
      <c r="K215">
        <v>2012</v>
      </c>
      <c r="L215" t="s">
        <v>70</v>
      </c>
    </row>
    <row r="216" spans="1:12" x14ac:dyDescent="0.35">
      <c r="A216" t="s">
        <v>12</v>
      </c>
      <c r="B216" t="s">
        <v>68</v>
      </c>
      <c r="C216" t="s">
        <v>74</v>
      </c>
      <c r="K216">
        <v>2012</v>
      </c>
      <c r="L216" t="s">
        <v>70</v>
      </c>
    </row>
    <row r="217" spans="1:12" x14ac:dyDescent="0.35">
      <c r="A217" t="s">
        <v>12</v>
      </c>
      <c r="B217" t="s">
        <v>68</v>
      </c>
      <c r="C217" t="s">
        <v>75</v>
      </c>
      <c r="K217">
        <v>2012</v>
      </c>
      <c r="L217" t="s">
        <v>70</v>
      </c>
    </row>
    <row r="218" spans="1:12" x14ac:dyDescent="0.35">
      <c r="A218" t="s">
        <v>12</v>
      </c>
      <c r="B218" t="s">
        <v>68</v>
      </c>
      <c r="C218" t="s">
        <v>59</v>
      </c>
      <c r="D218">
        <v>7</v>
      </c>
      <c r="E218">
        <v>726</v>
      </c>
      <c r="F218">
        <v>4.5</v>
      </c>
      <c r="G218">
        <v>372</v>
      </c>
      <c r="H218">
        <v>16750</v>
      </c>
      <c r="I218">
        <v>5013</v>
      </c>
      <c r="K218">
        <v>2012</v>
      </c>
      <c r="L218" t="s">
        <v>70</v>
      </c>
    </row>
    <row r="219" spans="1:12" x14ac:dyDescent="0.35">
      <c r="A219" t="s">
        <v>12</v>
      </c>
      <c r="B219" t="s">
        <v>68</v>
      </c>
      <c r="C219" t="s">
        <v>19</v>
      </c>
      <c r="D219">
        <v>4.3</v>
      </c>
      <c r="E219">
        <v>3585</v>
      </c>
      <c r="F219">
        <v>4.3</v>
      </c>
      <c r="G219">
        <v>17544</v>
      </c>
      <c r="H219">
        <v>187962</v>
      </c>
      <c r="I219">
        <v>23519</v>
      </c>
      <c r="K219">
        <v>2012</v>
      </c>
      <c r="L219" t="s">
        <v>70</v>
      </c>
    </row>
    <row r="220" spans="1:12" x14ac:dyDescent="0.35">
      <c r="A220" t="s">
        <v>12</v>
      </c>
      <c r="B220" t="s">
        <v>68</v>
      </c>
      <c r="C220" t="s">
        <v>37</v>
      </c>
      <c r="D220">
        <v>4.5999999999999996</v>
      </c>
      <c r="E220">
        <v>6328</v>
      </c>
      <c r="F220">
        <v>3.8</v>
      </c>
      <c r="G220">
        <v>17112</v>
      </c>
      <c r="H220">
        <v>214586</v>
      </c>
      <c r="I220">
        <v>34278</v>
      </c>
      <c r="K220">
        <v>2012</v>
      </c>
      <c r="L220" t="s">
        <v>70</v>
      </c>
    </row>
    <row r="221" spans="1:12" x14ac:dyDescent="0.35">
      <c r="A221" t="s">
        <v>12</v>
      </c>
      <c r="B221" t="s">
        <v>68</v>
      </c>
      <c r="C221" t="s">
        <v>36</v>
      </c>
      <c r="D221">
        <v>10.8</v>
      </c>
      <c r="E221">
        <v>414</v>
      </c>
      <c r="F221">
        <v>4.3</v>
      </c>
      <c r="G221">
        <v>53</v>
      </c>
      <c r="H221">
        <v>3575</v>
      </c>
      <c r="I221">
        <v>1204</v>
      </c>
      <c r="K221">
        <v>2012</v>
      </c>
      <c r="L221" t="s">
        <v>70</v>
      </c>
    </row>
    <row r="222" spans="1:12" x14ac:dyDescent="0.35">
      <c r="A222" t="s">
        <v>12</v>
      </c>
      <c r="B222" t="s">
        <v>68</v>
      </c>
      <c r="C222" t="s">
        <v>76</v>
      </c>
      <c r="K222">
        <v>2012</v>
      </c>
      <c r="L222" t="s">
        <v>70</v>
      </c>
    </row>
    <row r="223" spans="1:12" x14ac:dyDescent="0.35">
      <c r="A223" t="s">
        <v>12</v>
      </c>
      <c r="B223" t="s">
        <v>68</v>
      </c>
      <c r="C223" t="s">
        <v>35</v>
      </c>
      <c r="D223">
        <v>5.4</v>
      </c>
      <c r="E223">
        <v>779</v>
      </c>
      <c r="F223">
        <v>3</v>
      </c>
      <c r="G223">
        <v>1077</v>
      </c>
      <c r="H223">
        <v>12175</v>
      </c>
      <c r="I223">
        <v>5485</v>
      </c>
      <c r="K223">
        <v>2012</v>
      </c>
      <c r="L223" t="s">
        <v>70</v>
      </c>
    </row>
    <row r="224" spans="1:12" x14ac:dyDescent="0.35">
      <c r="A224" t="s">
        <v>12</v>
      </c>
      <c r="B224" t="s">
        <v>68</v>
      </c>
      <c r="C224" t="s">
        <v>77</v>
      </c>
      <c r="K224">
        <v>2012</v>
      </c>
      <c r="L224" t="s">
        <v>70</v>
      </c>
    </row>
    <row r="225" spans="1:12" x14ac:dyDescent="0.35">
      <c r="A225" t="s">
        <v>12</v>
      </c>
      <c r="B225" t="s">
        <v>68</v>
      </c>
      <c r="C225" t="s">
        <v>32</v>
      </c>
      <c r="D225">
        <v>5</v>
      </c>
      <c r="E225">
        <v>5602</v>
      </c>
      <c r="F225">
        <v>2.8</v>
      </c>
      <c r="G225">
        <v>17072</v>
      </c>
      <c r="H225">
        <v>180220</v>
      </c>
      <c r="I225">
        <v>38103</v>
      </c>
      <c r="K225">
        <v>2012</v>
      </c>
      <c r="L225" t="s">
        <v>70</v>
      </c>
    </row>
    <row r="226" spans="1:12" x14ac:dyDescent="0.35">
      <c r="A226" t="s">
        <v>12</v>
      </c>
      <c r="B226" t="s">
        <v>68</v>
      </c>
      <c r="C226" t="s">
        <v>31</v>
      </c>
      <c r="E226">
        <v>7719</v>
      </c>
      <c r="F226">
        <v>5.5</v>
      </c>
      <c r="G226">
        <v>8411</v>
      </c>
      <c r="H226">
        <v>351521</v>
      </c>
      <c r="I226">
        <v>40370</v>
      </c>
      <c r="K226">
        <v>2012</v>
      </c>
      <c r="L226" t="s">
        <v>70</v>
      </c>
    </row>
    <row r="227" spans="1:12" x14ac:dyDescent="0.35">
      <c r="A227" t="s">
        <v>12</v>
      </c>
      <c r="B227" t="s">
        <v>68</v>
      </c>
      <c r="C227" t="s">
        <v>42</v>
      </c>
      <c r="D227">
        <v>4.7</v>
      </c>
      <c r="E227">
        <v>3400</v>
      </c>
      <c r="F227">
        <v>5.6</v>
      </c>
      <c r="G227">
        <v>8568</v>
      </c>
      <c r="H227">
        <v>280069</v>
      </c>
      <c r="I227">
        <v>22629</v>
      </c>
      <c r="K227">
        <v>2012</v>
      </c>
      <c r="L227" t="s">
        <v>70</v>
      </c>
    </row>
    <row r="228" spans="1:12" x14ac:dyDescent="0.35">
      <c r="A228" t="s">
        <v>12</v>
      </c>
      <c r="B228" t="s">
        <v>68</v>
      </c>
      <c r="C228" t="s">
        <v>78</v>
      </c>
      <c r="K228">
        <v>2012</v>
      </c>
      <c r="L228" t="s">
        <v>70</v>
      </c>
    </row>
    <row r="229" spans="1:12" x14ac:dyDescent="0.35">
      <c r="A229" t="s">
        <v>12</v>
      </c>
      <c r="B229" t="s">
        <v>68</v>
      </c>
      <c r="C229" t="s">
        <v>28</v>
      </c>
      <c r="E229">
        <v>2076</v>
      </c>
      <c r="F229">
        <v>3.6</v>
      </c>
      <c r="H229">
        <v>72111</v>
      </c>
      <c r="I229">
        <v>8419</v>
      </c>
      <c r="K229">
        <v>2012</v>
      </c>
      <c r="L229" t="s">
        <v>70</v>
      </c>
    </row>
    <row r="230" spans="1:12" x14ac:dyDescent="0.35">
      <c r="A230" t="s">
        <v>12</v>
      </c>
      <c r="B230" t="s">
        <v>68</v>
      </c>
      <c r="C230" t="s">
        <v>33</v>
      </c>
      <c r="D230">
        <v>6.1</v>
      </c>
      <c r="E230">
        <v>472</v>
      </c>
      <c r="F230">
        <v>3.6</v>
      </c>
      <c r="G230">
        <v>672</v>
      </c>
      <c r="H230">
        <v>17165</v>
      </c>
      <c r="I230">
        <v>1921</v>
      </c>
      <c r="K230">
        <v>2012</v>
      </c>
      <c r="L230" t="s">
        <v>70</v>
      </c>
    </row>
    <row r="231" spans="1:12" x14ac:dyDescent="0.35">
      <c r="A231" t="s">
        <v>12</v>
      </c>
      <c r="B231" t="s">
        <v>68</v>
      </c>
      <c r="C231" t="s">
        <v>27</v>
      </c>
      <c r="D231">
        <v>9</v>
      </c>
      <c r="E231">
        <v>704</v>
      </c>
      <c r="F231">
        <v>4.2</v>
      </c>
      <c r="G231">
        <v>51</v>
      </c>
      <c r="H231">
        <v>6929</v>
      </c>
      <c r="I231">
        <v>2207</v>
      </c>
      <c r="K231">
        <v>2012</v>
      </c>
      <c r="L231" t="s">
        <v>70</v>
      </c>
    </row>
    <row r="232" spans="1:12" x14ac:dyDescent="0.35">
      <c r="A232" t="s">
        <v>12</v>
      </c>
      <c r="B232" t="s">
        <v>68</v>
      </c>
      <c r="C232" t="s">
        <v>79</v>
      </c>
      <c r="K232">
        <v>2012</v>
      </c>
      <c r="L232" t="s">
        <v>70</v>
      </c>
    </row>
    <row r="233" spans="1:12" x14ac:dyDescent="0.35">
      <c r="A233" t="s">
        <v>12</v>
      </c>
      <c r="B233" t="s">
        <v>80</v>
      </c>
      <c r="C233" t="s">
        <v>41</v>
      </c>
      <c r="D233">
        <v>7.3</v>
      </c>
      <c r="E233">
        <v>258</v>
      </c>
      <c r="F233">
        <v>3.79</v>
      </c>
      <c r="G233">
        <v>102</v>
      </c>
      <c r="H233">
        <v>100</v>
      </c>
      <c r="I233">
        <v>858</v>
      </c>
      <c r="K233">
        <v>2013</v>
      </c>
      <c r="L233" t="s">
        <v>81</v>
      </c>
    </row>
    <row r="234" spans="1:12" x14ac:dyDescent="0.35">
      <c r="A234" t="s">
        <v>12</v>
      </c>
      <c r="B234" t="s">
        <v>80</v>
      </c>
      <c r="C234" t="s">
        <v>43</v>
      </c>
      <c r="E234">
        <v>11857</v>
      </c>
      <c r="F234">
        <v>5.21</v>
      </c>
      <c r="G234">
        <v>16359</v>
      </c>
      <c r="H234">
        <v>446812</v>
      </c>
      <c r="I234">
        <v>63141</v>
      </c>
      <c r="K234">
        <v>2013</v>
      </c>
      <c r="L234" t="s">
        <v>81</v>
      </c>
    </row>
    <row r="235" spans="1:12" x14ac:dyDescent="0.35">
      <c r="A235" t="s">
        <v>12</v>
      </c>
      <c r="B235" t="s">
        <v>80</v>
      </c>
      <c r="C235" t="s">
        <v>74</v>
      </c>
      <c r="K235">
        <v>2013</v>
      </c>
      <c r="L235" t="s">
        <v>81</v>
      </c>
    </row>
    <row r="236" spans="1:12" x14ac:dyDescent="0.35">
      <c r="A236" t="s">
        <v>12</v>
      </c>
      <c r="B236" t="s">
        <v>80</v>
      </c>
      <c r="C236" t="s">
        <v>40</v>
      </c>
      <c r="K236">
        <v>2013</v>
      </c>
      <c r="L236" t="s">
        <v>81</v>
      </c>
    </row>
    <row r="237" spans="1:12" x14ac:dyDescent="0.35">
      <c r="A237" t="s">
        <v>12</v>
      </c>
      <c r="B237" t="s">
        <v>80</v>
      </c>
      <c r="C237" t="s">
        <v>37</v>
      </c>
      <c r="D237">
        <v>5.3</v>
      </c>
      <c r="E237">
        <v>6603</v>
      </c>
      <c r="F237">
        <v>3.82</v>
      </c>
      <c r="G237">
        <v>18342</v>
      </c>
      <c r="H237">
        <v>198797</v>
      </c>
      <c r="I237">
        <v>36076</v>
      </c>
      <c r="K237">
        <v>2013</v>
      </c>
      <c r="L237" t="s">
        <v>81</v>
      </c>
    </row>
    <row r="238" spans="1:12" x14ac:dyDescent="0.35">
      <c r="A238" t="s">
        <v>12</v>
      </c>
      <c r="B238" t="s">
        <v>80</v>
      </c>
      <c r="C238" t="s">
        <v>76</v>
      </c>
      <c r="K238">
        <v>2013</v>
      </c>
      <c r="L238" t="s">
        <v>81</v>
      </c>
    </row>
    <row r="239" spans="1:12" x14ac:dyDescent="0.35">
      <c r="A239" t="s">
        <v>12</v>
      </c>
      <c r="B239" t="s">
        <v>80</v>
      </c>
      <c r="C239" t="s">
        <v>75</v>
      </c>
      <c r="K239">
        <v>2013</v>
      </c>
      <c r="L239" t="s">
        <v>81</v>
      </c>
    </row>
    <row r="240" spans="1:12" x14ac:dyDescent="0.35">
      <c r="A240" t="s">
        <v>12</v>
      </c>
      <c r="B240" t="s">
        <v>80</v>
      </c>
      <c r="C240" t="s">
        <v>36</v>
      </c>
      <c r="D240">
        <v>11.8</v>
      </c>
      <c r="E240">
        <v>414</v>
      </c>
      <c r="F240">
        <v>4.3099999999999996</v>
      </c>
      <c r="G240">
        <v>26</v>
      </c>
      <c r="H240">
        <v>2678</v>
      </c>
      <c r="I240">
        <v>920</v>
      </c>
      <c r="K240">
        <v>2013</v>
      </c>
      <c r="L240" t="s">
        <v>81</v>
      </c>
    </row>
    <row r="241" spans="1:12" x14ac:dyDescent="0.35">
      <c r="A241" t="s">
        <v>12</v>
      </c>
      <c r="B241" t="s">
        <v>80</v>
      </c>
      <c r="C241" t="s">
        <v>77</v>
      </c>
      <c r="K241">
        <v>2013</v>
      </c>
      <c r="L241" t="s">
        <v>81</v>
      </c>
    </row>
    <row r="242" spans="1:12" x14ac:dyDescent="0.35">
      <c r="A242" t="s">
        <v>12</v>
      </c>
      <c r="B242" t="s">
        <v>80</v>
      </c>
      <c r="C242" t="s">
        <v>35</v>
      </c>
      <c r="D242">
        <v>5.7</v>
      </c>
      <c r="E242">
        <v>718</v>
      </c>
      <c r="F242">
        <v>2.96</v>
      </c>
      <c r="G242">
        <v>865</v>
      </c>
      <c r="H242">
        <v>10120</v>
      </c>
      <c r="I242">
        <v>5059</v>
      </c>
      <c r="K242">
        <v>2013</v>
      </c>
      <c r="L242" t="s">
        <v>81</v>
      </c>
    </row>
    <row r="243" spans="1:12" x14ac:dyDescent="0.35">
      <c r="A243" t="s">
        <v>12</v>
      </c>
      <c r="B243" t="s">
        <v>80</v>
      </c>
      <c r="C243" t="s">
        <v>56</v>
      </c>
      <c r="D243">
        <v>9</v>
      </c>
      <c r="E243">
        <v>219</v>
      </c>
      <c r="F243">
        <v>3.33</v>
      </c>
      <c r="H243">
        <v>83</v>
      </c>
      <c r="I243">
        <v>809</v>
      </c>
      <c r="K243">
        <v>2013</v>
      </c>
      <c r="L243" t="s">
        <v>81</v>
      </c>
    </row>
    <row r="244" spans="1:12" x14ac:dyDescent="0.35">
      <c r="A244" t="s">
        <v>12</v>
      </c>
      <c r="B244" t="s">
        <v>80</v>
      </c>
      <c r="C244" t="s">
        <v>32</v>
      </c>
      <c r="D244">
        <v>6.3</v>
      </c>
      <c r="E244">
        <v>5341</v>
      </c>
      <c r="F244">
        <v>2.79</v>
      </c>
      <c r="G244">
        <v>15868</v>
      </c>
      <c r="H244">
        <v>155143</v>
      </c>
      <c r="I244">
        <v>35503</v>
      </c>
      <c r="K244">
        <v>2013</v>
      </c>
      <c r="L244" t="s">
        <v>81</v>
      </c>
    </row>
    <row r="245" spans="1:12" x14ac:dyDescent="0.35">
      <c r="A245" t="s">
        <v>12</v>
      </c>
      <c r="B245" t="s">
        <v>80</v>
      </c>
      <c r="C245" t="s">
        <v>42</v>
      </c>
      <c r="D245">
        <v>4.9000000000000004</v>
      </c>
      <c r="E245">
        <v>3469</v>
      </c>
      <c r="F245">
        <v>5.56</v>
      </c>
      <c r="G245">
        <v>8498</v>
      </c>
      <c r="H245">
        <v>284793</v>
      </c>
      <c r="I245">
        <v>22821</v>
      </c>
      <c r="K245">
        <v>2013</v>
      </c>
      <c r="L245" t="s">
        <v>81</v>
      </c>
    </row>
    <row r="246" spans="1:12" x14ac:dyDescent="0.35">
      <c r="A246" t="s">
        <v>12</v>
      </c>
      <c r="B246" t="s">
        <v>80</v>
      </c>
      <c r="C246" t="s">
        <v>78</v>
      </c>
      <c r="K246">
        <v>2013</v>
      </c>
      <c r="L246" t="s">
        <v>81</v>
      </c>
    </row>
    <row r="247" spans="1:12" x14ac:dyDescent="0.35">
      <c r="A247" t="s">
        <v>12</v>
      </c>
      <c r="B247" t="s">
        <v>80</v>
      </c>
      <c r="C247" t="s">
        <v>31</v>
      </c>
      <c r="D247">
        <v>4</v>
      </c>
      <c r="E247">
        <v>7852</v>
      </c>
      <c r="F247">
        <v>5.5</v>
      </c>
      <c r="G247">
        <v>8050</v>
      </c>
      <c r="H247">
        <v>336104</v>
      </c>
      <c r="I247">
        <v>40070</v>
      </c>
      <c r="K247">
        <v>2013</v>
      </c>
      <c r="L247" t="s">
        <v>81</v>
      </c>
    </row>
    <row r="248" spans="1:12" x14ac:dyDescent="0.35">
      <c r="A248" t="s">
        <v>12</v>
      </c>
      <c r="B248" t="s">
        <v>80</v>
      </c>
      <c r="C248" t="s">
        <v>28</v>
      </c>
      <c r="D248">
        <v>8</v>
      </c>
      <c r="E248">
        <v>2059</v>
      </c>
      <c r="F248">
        <v>3.58</v>
      </c>
      <c r="H248">
        <v>1691</v>
      </c>
      <c r="I248">
        <v>8777</v>
      </c>
      <c r="K248">
        <v>2013</v>
      </c>
      <c r="L248" t="s">
        <v>81</v>
      </c>
    </row>
    <row r="249" spans="1:12" x14ac:dyDescent="0.35">
      <c r="A249" t="s">
        <v>12</v>
      </c>
      <c r="B249" t="s">
        <v>80</v>
      </c>
      <c r="C249" t="s">
        <v>79</v>
      </c>
      <c r="K249">
        <v>2013</v>
      </c>
      <c r="L249" t="s">
        <v>81</v>
      </c>
    </row>
    <row r="250" spans="1:12" x14ac:dyDescent="0.35">
      <c r="A250" t="s">
        <v>12</v>
      </c>
      <c r="B250" t="s">
        <v>80</v>
      </c>
      <c r="C250" t="s">
        <v>27</v>
      </c>
      <c r="D250">
        <v>10.3</v>
      </c>
      <c r="E250">
        <v>694</v>
      </c>
      <c r="F250">
        <v>4.28</v>
      </c>
      <c r="G250">
        <v>52</v>
      </c>
      <c r="H250">
        <v>6436</v>
      </c>
      <c r="I250">
        <v>2035</v>
      </c>
      <c r="K250">
        <v>2013</v>
      </c>
      <c r="L250" t="s">
        <v>81</v>
      </c>
    </row>
    <row r="251" spans="1:12" x14ac:dyDescent="0.35">
      <c r="A251" t="s">
        <v>12</v>
      </c>
      <c r="B251" t="s">
        <v>80</v>
      </c>
      <c r="C251" t="s">
        <v>38</v>
      </c>
      <c r="D251">
        <v>5.7</v>
      </c>
      <c r="E251">
        <v>2237</v>
      </c>
      <c r="F251">
        <v>5.47</v>
      </c>
      <c r="G251">
        <v>5654</v>
      </c>
      <c r="H251">
        <v>162010</v>
      </c>
      <c r="I251">
        <v>14106</v>
      </c>
      <c r="K251">
        <v>2013</v>
      </c>
      <c r="L251" t="s">
        <v>81</v>
      </c>
    </row>
    <row r="252" spans="1:12" x14ac:dyDescent="0.35">
      <c r="A252" t="s">
        <v>12</v>
      </c>
      <c r="B252" t="s">
        <v>80</v>
      </c>
      <c r="C252" t="s">
        <v>69</v>
      </c>
      <c r="D252">
        <v>3.8</v>
      </c>
      <c r="E252">
        <v>8243</v>
      </c>
      <c r="F252">
        <v>4.76</v>
      </c>
      <c r="G252">
        <v>9662</v>
      </c>
      <c r="H252">
        <v>354625</v>
      </c>
      <c r="I252">
        <v>38776</v>
      </c>
      <c r="K252">
        <v>2013</v>
      </c>
      <c r="L252" t="s">
        <v>81</v>
      </c>
    </row>
    <row r="253" spans="1:12" x14ac:dyDescent="0.35">
      <c r="A253" t="s">
        <v>12</v>
      </c>
      <c r="B253" t="s">
        <v>80</v>
      </c>
      <c r="C253" t="s">
        <v>33</v>
      </c>
      <c r="D253">
        <v>6.9</v>
      </c>
      <c r="E253">
        <v>468</v>
      </c>
      <c r="F253">
        <v>3.42</v>
      </c>
      <c r="G253">
        <v>612</v>
      </c>
      <c r="H253">
        <v>15419</v>
      </c>
      <c r="I253">
        <v>1826</v>
      </c>
      <c r="K253">
        <v>2013</v>
      </c>
      <c r="L253" t="s">
        <v>81</v>
      </c>
    </row>
    <row r="254" spans="1:12" x14ac:dyDescent="0.35">
      <c r="A254" t="s">
        <v>12</v>
      </c>
      <c r="B254" t="s">
        <v>80</v>
      </c>
      <c r="C254" t="s">
        <v>61</v>
      </c>
      <c r="D254">
        <v>5.0999999999999996</v>
      </c>
      <c r="E254">
        <v>313</v>
      </c>
      <c r="F254">
        <v>2.09</v>
      </c>
      <c r="G254">
        <v>734</v>
      </c>
      <c r="I254">
        <v>2294</v>
      </c>
      <c r="K254">
        <v>2013</v>
      </c>
      <c r="L254" t="s">
        <v>81</v>
      </c>
    </row>
    <row r="255" spans="1:12" x14ac:dyDescent="0.35">
      <c r="A255" t="s">
        <v>12</v>
      </c>
      <c r="B255" t="s">
        <v>80</v>
      </c>
      <c r="C255" t="s">
        <v>23</v>
      </c>
      <c r="D255">
        <v>6.7</v>
      </c>
      <c r="E255">
        <v>5830</v>
      </c>
      <c r="F255">
        <v>4.21</v>
      </c>
      <c r="G255">
        <v>11634</v>
      </c>
      <c r="I255">
        <v>42431</v>
      </c>
      <c r="K255">
        <v>2013</v>
      </c>
      <c r="L255" t="s">
        <v>81</v>
      </c>
    </row>
    <row r="256" spans="1:12" x14ac:dyDescent="0.35">
      <c r="A256" t="s">
        <v>12</v>
      </c>
      <c r="B256" t="s">
        <v>80</v>
      </c>
      <c r="C256" t="s">
        <v>22</v>
      </c>
      <c r="D256">
        <v>4</v>
      </c>
      <c r="E256">
        <v>18055</v>
      </c>
      <c r="F256">
        <v>4.7699999999999996</v>
      </c>
      <c r="G256">
        <v>25630</v>
      </c>
      <c r="H256">
        <v>525761</v>
      </c>
      <c r="I256">
        <v>107709</v>
      </c>
      <c r="K256">
        <v>2013</v>
      </c>
      <c r="L256" t="s">
        <v>81</v>
      </c>
    </row>
    <row r="257" spans="1:12" x14ac:dyDescent="0.35">
      <c r="A257" t="s">
        <v>12</v>
      </c>
      <c r="B257" t="s">
        <v>80</v>
      </c>
      <c r="C257" t="s">
        <v>64</v>
      </c>
      <c r="D257">
        <v>11</v>
      </c>
      <c r="E257">
        <v>82</v>
      </c>
      <c r="F257">
        <v>3.5</v>
      </c>
      <c r="G257">
        <v>164</v>
      </c>
      <c r="H257">
        <v>55</v>
      </c>
      <c r="I257">
        <v>550</v>
      </c>
      <c r="K257">
        <v>2013</v>
      </c>
      <c r="L257" t="s">
        <v>81</v>
      </c>
    </row>
    <row r="258" spans="1:12" x14ac:dyDescent="0.35">
      <c r="A258" t="s">
        <v>12</v>
      </c>
      <c r="B258" t="s">
        <v>80</v>
      </c>
      <c r="C258" t="s">
        <v>20</v>
      </c>
      <c r="D258">
        <v>8</v>
      </c>
      <c r="E258">
        <v>65</v>
      </c>
      <c r="F258">
        <v>4.57</v>
      </c>
      <c r="G258">
        <v>4</v>
      </c>
      <c r="H258">
        <v>394</v>
      </c>
      <c r="I258">
        <v>276</v>
      </c>
      <c r="K258">
        <v>2013</v>
      </c>
      <c r="L258" t="s">
        <v>81</v>
      </c>
    </row>
    <row r="259" spans="1:12" x14ac:dyDescent="0.35">
      <c r="A259" t="s">
        <v>12</v>
      </c>
      <c r="B259" t="s">
        <v>80</v>
      </c>
      <c r="C259" t="s">
        <v>34</v>
      </c>
      <c r="D259">
        <v>4.8</v>
      </c>
      <c r="E259">
        <v>2509</v>
      </c>
      <c r="F259">
        <v>5.37</v>
      </c>
      <c r="G259">
        <v>6713</v>
      </c>
      <c r="H259">
        <v>190221</v>
      </c>
      <c r="I259">
        <v>14813</v>
      </c>
      <c r="K259">
        <v>2013</v>
      </c>
      <c r="L259" t="s">
        <v>81</v>
      </c>
    </row>
    <row r="260" spans="1:12" x14ac:dyDescent="0.35">
      <c r="A260" t="s">
        <v>12</v>
      </c>
      <c r="B260" t="s">
        <v>80</v>
      </c>
      <c r="C260" t="s">
        <v>52</v>
      </c>
      <c r="D260">
        <v>8.4</v>
      </c>
      <c r="E260">
        <v>688</v>
      </c>
      <c r="F260">
        <v>3.94</v>
      </c>
      <c r="G260">
        <v>645</v>
      </c>
      <c r="H260">
        <v>14560</v>
      </c>
      <c r="I260">
        <v>3111</v>
      </c>
      <c r="K260">
        <v>2013</v>
      </c>
      <c r="L260" t="s">
        <v>81</v>
      </c>
    </row>
    <row r="261" spans="1:12" x14ac:dyDescent="0.35">
      <c r="A261" t="s">
        <v>12</v>
      </c>
      <c r="B261" t="s">
        <v>80</v>
      </c>
      <c r="C261" t="s">
        <v>45</v>
      </c>
      <c r="D261">
        <v>8</v>
      </c>
      <c r="E261">
        <v>1841</v>
      </c>
      <c r="F261">
        <v>3.21</v>
      </c>
      <c r="G261">
        <v>4249</v>
      </c>
      <c r="H261">
        <v>47931</v>
      </c>
      <c r="I261">
        <v>10466</v>
      </c>
      <c r="J261" t="s">
        <v>82</v>
      </c>
      <c r="K261">
        <v>2013</v>
      </c>
      <c r="L261" t="s">
        <v>81</v>
      </c>
    </row>
    <row r="262" spans="1:12" x14ac:dyDescent="0.35">
      <c r="A262" t="s">
        <v>12</v>
      </c>
      <c r="B262" t="s">
        <v>80</v>
      </c>
      <c r="C262" t="s">
        <v>50</v>
      </c>
      <c r="D262">
        <v>5.3</v>
      </c>
      <c r="E262">
        <v>4247</v>
      </c>
      <c r="F262">
        <v>5.14</v>
      </c>
      <c r="G262">
        <v>4873</v>
      </c>
      <c r="H262">
        <v>153732</v>
      </c>
      <c r="I262">
        <v>19128</v>
      </c>
      <c r="K262">
        <v>2013</v>
      </c>
      <c r="L262" t="s">
        <v>81</v>
      </c>
    </row>
    <row r="263" spans="1:12" x14ac:dyDescent="0.35">
      <c r="A263" t="s">
        <v>12</v>
      </c>
      <c r="B263" t="s">
        <v>80</v>
      </c>
      <c r="C263" t="s">
        <v>30</v>
      </c>
      <c r="E263">
        <v>3816</v>
      </c>
      <c r="F263">
        <v>4.7300000000000004</v>
      </c>
      <c r="G263">
        <v>4466</v>
      </c>
      <c r="H263">
        <v>151371</v>
      </c>
      <c r="I263">
        <v>18634</v>
      </c>
      <c r="K263">
        <v>2013</v>
      </c>
      <c r="L263" t="s">
        <v>81</v>
      </c>
    </row>
    <row r="264" spans="1:12" x14ac:dyDescent="0.35">
      <c r="A264" t="s">
        <v>12</v>
      </c>
      <c r="B264" t="s">
        <v>80</v>
      </c>
      <c r="C264" t="s">
        <v>29</v>
      </c>
      <c r="D264">
        <v>5.0999999999999996</v>
      </c>
      <c r="E264">
        <v>3760</v>
      </c>
      <c r="F264">
        <v>5.59</v>
      </c>
      <c r="G264">
        <v>10750</v>
      </c>
      <c r="H264">
        <v>268500</v>
      </c>
      <c r="I264">
        <v>23329</v>
      </c>
      <c r="K264">
        <v>2013</v>
      </c>
      <c r="L264" t="s">
        <v>81</v>
      </c>
    </row>
    <row r="265" spans="1:12" x14ac:dyDescent="0.35">
      <c r="A265" t="s">
        <v>12</v>
      </c>
      <c r="B265" t="s">
        <v>80</v>
      </c>
      <c r="C265" t="s">
        <v>49</v>
      </c>
      <c r="D265">
        <v>5.2</v>
      </c>
      <c r="E265">
        <v>4615</v>
      </c>
      <c r="F265">
        <v>5.0999999999999996</v>
      </c>
      <c r="G265">
        <v>8213</v>
      </c>
      <c r="H265">
        <v>172959</v>
      </c>
      <c r="I265">
        <v>22508</v>
      </c>
      <c r="K265">
        <v>2013</v>
      </c>
      <c r="L265" t="s">
        <v>81</v>
      </c>
    </row>
    <row r="266" spans="1:12" x14ac:dyDescent="0.35">
      <c r="A266" t="s">
        <v>12</v>
      </c>
      <c r="B266" t="s">
        <v>80</v>
      </c>
      <c r="C266" t="s">
        <v>14</v>
      </c>
      <c r="D266">
        <v>5.3</v>
      </c>
      <c r="E266">
        <v>356</v>
      </c>
      <c r="F266">
        <v>2.99</v>
      </c>
      <c r="G266">
        <v>746</v>
      </c>
      <c r="H266">
        <v>232</v>
      </c>
      <c r="I266">
        <v>2218</v>
      </c>
      <c r="K266">
        <v>2013</v>
      </c>
      <c r="L266" t="s">
        <v>81</v>
      </c>
    </row>
    <row r="267" spans="1:12" x14ac:dyDescent="0.35">
      <c r="A267" t="s">
        <v>12</v>
      </c>
      <c r="B267" t="s">
        <v>80</v>
      </c>
      <c r="C267" t="s">
        <v>48</v>
      </c>
      <c r="D267">
        <v>3.8</v>
      </c>
      <c r="E267">
        <v>422</v>
      </c>
      <c r="F267">
        <v>4.66</v>
      </c>
      <c r="G267">
        <v>55</v>
      </c>
      <c r="H267">
        <v>15990</v>
      </c>
      <c r="I267">
        <v>697</v>
      </c>
      <c r="K267">
        <v>2013</v>
      </c>
      <c r="L267" t="s">
        <v>81</v>
      </c>
    </row>
    <row r="268" spans="1:12" x14ac:dyDescent="0.35">
      <c r="A268" t="s">
        <v>12</v>
      </c>
      <c r="B268" t="s">
        <v>80</v>
      </c>
      <c r="C268" t="s">
        <v>57</v>
      </c>
      <c r="D268">
        <v>10.5</v>
      </c>
      <c r="E268">
        <v>989</v>
      </c>
      <c r="F268">
        <v>4.45</v>
      </c>
      <c r="H268">
        <v>1074</v>
      </c>
      <c r="I268">
        <v>3570</v>
      </c>
      <c r="K268">
        <v>2013</v>
      </c>
      <c r="L268" t="s">
        <v>81</v>
      </c>
    </row>
    <row r="269" spans="1:12" x14ac:dyDescent="0.35">
      <c r="A269" t="s">
        <v>12</v>
      </c>
      <c r="B269" t="s">
        <v>80</v>
      </c>
      <c r="C269" t="s">
        <v>25</v>
      </c>
      <c r="D269">
        <v>5.0999999999999996</v>
      </c>
      <c r="E269">
        <v>3207</v>
      </c>
      <c r="F269">
        <v>5.17</v>
      </c>
      <c r="G269">
        <v>9023</v>
      </c>
      <c r="H269">
        <v>227784</v>
      </c>
      <c r="I269">
        <v>19152</v>
      </c>
      <c r="K269">
        <v>2013</v>
      </c>
      <c r="L269" t="s">
        <v>81</v>
      </c>
    </row>
    <row r="270" spans="1:12" x14ac:dyDescent="0.35">
      <c r="A270" t="s">
        <v>12</v>
      </c>
      <c r="B270" t="s">
        <v>80</v>
      </c>
      <c r="C270" t="s">
        <v>71</v>
      </c>
      <c r="K270">
        <v>2013</v>
      </c>
      <c r="L270" t="s">
        <v>81</v>
      </c>
    </row>
    <row r="271" spans="1:12" x14ac:dyDescent="0.35">
      <c r="A271" t="s">
        <v>12</v>
      </c>
      <c r="B271" t="s">
        <v>80</v>
      </c>
      <c r="C271" t="s">
        <v>51</v>
      </c>
      <c r="D271">
        <v>3.7</v>
      </c>
      <c r="E271">
        <v>4674</v>
      </c>
      <c r="F271">
        <v>4.93</v>
      </c>
      <c r="G271">
        <v>3466</v>
      </c>
      <c r="H271">
        <v>222145</v>
      </c>
      <c r="I271">
        <v>21384</v>
      </c>
      <c r="K271">
        <v>2013</v>
      </c>
      <c r="L271" t="s">
        <v>81</v>
      </c>
    </row>
    <row r="272" spans="1:12" x14ac:dyDescent="0.35">
      <c r="A272" t="s">
        <v>12</v>
      </c>
      <c r="B272" t="s">
        <v>80</v>
      </c>
      <c r="C272" t="s">
        <v>17</v>
      </c>
      <c r="D272">
        <v>6.1</v>
      </c>
      <c r="E272">
        <v>424</v>
      </c>
      <c r="F272">
        <v>4.0999999999999996</v>
      </c>
      <c r="G272">
        <v>957</v>
      </c>
      <c r="H272">
        <v>16734</v>
      </c>
      <c r="I272">
        <v>2031</v>
      </c>
      <c r="K272">
        <v>2013</v>
      </c>
      <c r="L272" t="s">
        <v>81</v>
      </c>
    </row>
    <row r="273" spans="1:12" x14ac:dyDescent="0.35">
      <c r="A273" t="s">
        <v>12</v>
      </c>
      <c r="B273" t="s">
        <v>80</v>
      </c>
      <c r="C273" t="s">
        <v>18</v>
      </c>
      <c r="D273">
        <v>5.2</v>
      </c>
      <c r="E273">
        <v>34</v>
      </c>
      <c r="F273">
        <v>3</v>
      </c>
      <c r="G273">
        <v>0</v>
      </c>
      <c r="H273">
        <v>174</v>
      </c>
      <c r="I273">
        <v>418</v>
      </c>
      <c r="K273">
        <v>2013</v>
      </c>
      <c r="L273" t="s">
        <v>81</v>
      </c>
    </row>
    <row r="274" spans="1:12" x14ac:dyDescent="0.35">
      <c r="A274" t="s">
        <v>12</v>
      </c>
      <c r="B274" t="s">
        <v>80</v>
      </c>
      <c r="C274" t="s">
        <v>39</v>
      </c>
      <c r="D274">
        <v>7.6</v>
      </c>
      <c r="E274">
        <v>4314</v>
      </c>
      <c r="F274">
        <v>2.84</v>
      </c>
      <c r="G274">
        <v>13068</v>
      </c>
      <c r="H274">
        <v>98432</v>
      </c>
      <c r="I274">
        <v>36494</v>
      </c>
      <c r="J274" t="s">
        <v>83</v>
      </c>
      <c r="K274">
        <v>2013</v>
      </c>
      <c r="L274" t="s">
        <v>81</v>
      </c>
    </row>
    <row r="275" spans="1:12" x14ac:dyDescent="0.35">
      <c r="A275" t="s">
        <v>12</v>
      </c>
      <c r="B275" t="s">
        <v>80</v>
      </c>
      <c r="C275" t="s">
        <v>65</v>
      </c>
      <c r="D275">
        <v>5.9</v>
      </c>
      <c r="E275">
        <v>10288</v>
      </c>
      <c r="F275">
        <v>5.09</v>
      </c>
      <c r="G275">
        <v>32175</v>
      </c>
      <c r="H275">
        <v>435830</v>
      </c>
      <c r="I275">
        <v>58039</v>
      </c>
      <c r="K275">
        <v>2013</v>
      </c>
      <c r="L275" t="s">
        <v>81</v>
      </c>
    </row>
    <row r="276" spans="1:12" x14ac:dyDescent="0.35">
      <c r="A276" t="s">
        <v>12</v>
      </c>
      <c r="B276" t="s">
        <v>80</v>
      </c>
      <c r="C276" t="s">
        <v>21</v>
      </c>
      <c r="D276">
        <v>3.1</v>
      </c>
      <c r="E276">
        <v>1108</v>
      </c>
      <c r="F276">
        <v>5.08</v>
      </c>
      <c r="H276">
        <v>75716</v>
      </c>
      <c r="I276">
        <v>7060</v>
      </c>
      <c r="K276">
        <v>2013</v>
      </c>
      <c r="L276" t="s">
        <v>81</v>
      </c>
    </row>
    <row r="277" spans="1:12" x14ac:dyDescent="0.35">
      <c r="A277" t="s">
        <v>12</v>
      </c>
      <c r="B277" t="s">
        <v>80</v>
      </c>
      <c r="C277" t="s">
        <v>46</v>
      </c>
      <c r="D277">
        <v>6.2</v>
      </c>
      <c r="E277">
        <v>47</v>
      </c>
      <c r="F277">
        <v>5.0199999999999996</v>
      </c>
      <c r="G277">
        <v>7</v>
      </c>
      <c r="H277">
        <v>353</v>
      </c>
      <c r="I277">
        <v>467</v>
      </c>
      <c r="K277">
        <v>2013</v>
      </c>
      <c r="L277" t="s">
        <v>81</v>
      </c>
    </row>
    <row r="278" spans="1:12" x14ac:dyDescent="0.35">
      <c r="A278" t="s">
        <v>12</v>
      </c>
      <c r="B278" t="s">
        <v>80</v>
      </c>
      <c r="C278" t="s">
        <v>44</v>
      </c>
      <c r="D278">
        <v>6.3</v>
      </c>
      <c r="E278">
        <v>1036</v>
      </c>
      <c r="F278">
        <v>3.07</v>
      </c>
      <c r="G278">
        <v>2023</v>
      </c>
      <c r="H278">
        <v>15352</v>
      </c>
      <c r="I278">
        <v>5293</v>
      </c>
      <c r="K278">
        <v>2013</v>
      </c>
      <c r="L278" t="s">
        <v>81</v>
      </c>
    </row>
    <row r="279" spans="1:12" x14ac:dyDescent="0.35">
      <c r="A279" t="s">
        <v>12</v>
      </c>
      <c r="B279" t="s">
        <v>80</v>
      </c>
      <c r="C279" t="s">
        <v>47</v>
      </c>
      <c r="E279">
        <v>9600</v>
      </c>
      <c r="F279">
        <v>5.16</v>
      </c>
      <c r="G279">
        <v>5356</v>
      </c>
      <c r="H279">
        <v>264049</v>
      </c>
      <c r="I279">
        <v>26665</v>
      </c>
      <c r="K279">
        <v>2013</v>
      </c>
      <c r="L279" t="s">
        <v>81</v>
      </c>
    </row>
    <row r="280" spans="1:12" x14ac:dyDescent="0.35">
      <c r="A280" t="s">
        <v>12</v>
      </c>
      <c r="B280" t="s">
        <v>80</v>
      </c>
      <c r="C280" t="s">
        <v>19</v>
      </c>
      <c r="D280">
        <v>5.0999999999999996</v>
      </c>
      <c r="E280">
        <v>3676</v>
      </c>
      <c r="F280">
        <v>4.33</v>
      </c>
      <c r="G280">
        <v>18068</v>
      </c>
      <c r="H280">
        <v>192169</v>
      </c>
      <c r="I280">
        <v>23982</v>
      </c>
      <c r="K280">
        <v>2013</v>
      </c>
      <c r="L280" t="s">
        <v>81</v>
      </c>
    </row>
    <row r="281" spans="1:12" x14ac:dyDescent="0.35">
      <c r="A281" t="s">
        <v>12</v>
      </c>
      <c r="B281" t="s">
        <v>80</v>
      </c>
      <c r="C281" t="s">
        <v>55</v>
      </c>
      <c r="D281">
        <v>4.5</v>
      </c>
      <c r="E281">
        <v>1225</v>
      </c>
      <c r="F281">
        <v>4.66</v>
      </c>
      <c r="G281">
        <v>351</v>
      </c>
      <c r="H281">
        <v>1377</v>
      </c>
      <c r="I281">
        <v>7804</v>
      </c>
      <c r="K281">
        <v>2013</v>
      </c>
      <c r="L281" t="s">
        <v>81</v>
      </c>
    </row>
    <row r="282" spans="1:12" x14ac:dyDescent="0.35">
      <c r="A282" t="s">
        <v>12</v>
      </c>
      <c r="B282" t="s">
        <v>80</v>
      </c>
      <c r="C282" t="s">
        <v>58</v>
      </c>
      <c r="D282">
        <v>7</v>
      </c>
      <c r="E282">
        <v>1212</v>
      </c>
      <c r="F282">
        <v>4.5</v>
      </c>
      <c r="G282">
        <v>725</v>
      </c>
      <c r="H282">
        <v>1263</v>
      </c>
      <c r="I282">
        <v>2500</v>
      </c>
      <c r="K282">
        <v>2013</v>
      </c>
      <c r="L282" t="s">
        <v>81</v>
      </c>
    </row>
    <row r="283" spans="1:12" x14ac:dyDescent="0.35">
      <c r="A283" t="s">
        <v>12</v>
      </c>
      <c r="B283" t="s">
        <v>80</v>
      </c>
      <c r="C283" t="s">
        <v>60</v>
      </c>
      <c r="D283">
        <v>6.7</v>
      </c>
      <c r="E283">
        <v>97</v>
      </c>
      <c r="F283">
        <v>3.3</v>
      </c>
      <c r="G283">
        <v>13</v>
      </c>
      <c r="H283">
        <v>375</v>
      </c>
      <c r="I283">
        <v>774</v>
      </c>
      <c r="K283">
        <v>2013</v>
      </c>
      <c r="L283" t="s">
        <v>81</v>
      </c>
    </row>
    <row r="284" spans="1:12" x14ac:dyDescent="0.35">
      <c r="A284" t="s">
        <v>12</v>
      </c>
      <c r="B284" t="s">
        <v>80</v>
      </c>
      <c r="C284" t="s">
        <v>72</v>
      </c>
      <c r="K284">
        <v>2013</v>
      </c>
      <c r="L284" t="s">
        <v>81</v>
      </c>
    </row>
    <row r="285" spans="1:12" x14ac:dyDescent="0.35">
      <c r="A285" t="s">
        <v>12</v>
      </c>
      <c r="B285" t="s">
        <v>80</v>
      </c>
      <c r="C285" t="s">
        <v>73</v>
      </c>
      <c r="K285">
        <v>2013</v>
      </c>
      <c r="L285" t="s">
        <v>81</v>
      </c>
    </row>
    <row r="286" spans="1:12" x14ac:dyDescent="0.35">
      <c r="A286" t="s">
        <v>12</v>
      </c>
      <c r="B286" t="s">
        <v>80</v>
      </c>
      <c r="C286" t="s">
        <v>16</v>
      </c>
      <c r="D286">
        <v>5.6</v>
      </c>
      <c r="E286">
        <v>213</v>
      </c>
      <c r="F286">
        <v>3.78</v>
      </c>
      <c r="G286">
        <v>15</v>
      </c>
      <c r="H286">
        <v>1232</v>
      </c>
      <c r="I286">
        <v>1050</v>
      </c>
      <c r="K286">
        <v>2013</v>
      </c>
      <c r="L286" t="s">
        <v>81</v>
      </c>
    </row>
    <row r="287" spans="1:12" x14ac:dyDescent="0.35">
      <c r="A287" t="s">
        <v>12</v>
      </c>
      <c r="B287" t="s">
        <v>80</v>
      </c>
      <c r="C287" t="s">
        <v>59</v>
      </c>
      <c r="D287">
        <v>7</v>
      </c>
      <c r="E287">
        <v>439</v>
      </c>
      <c r="F287">
        <v>4.5</v>
      </c>
      <c r="G287">
        <v>227</v>
      </c>
      <c r="H287">
        <v>329</v>
      </c>
      <c r="I287">
        <v>4720</v>
      </c>
      <c r="K287">
        <v>2013</v>
      </c>
      <c r="L287" t="s">
        <v>81</v>
      </c>
    </row>
    <row r="288" spans="1:12" x14ac:dyDescent="0.35">
      <c r="A288" t="s">
        <v>12</v>
      </c>
      <c r="B288" t="s">
        <v>80</v>
      </c>
      <c r="C288" t="s">
        <v>26</v>
      </c>
      <c r="D288">
        <v>4.5</v>
      </c>
      <c r="E288">
        <v>547</v>
      </c>
      <c r="F288">
        <v>4.34</v>
      </c>
      <c r="G288">
        <v>317</v>
      </c>
      <c r="H288">
        <v>8663</v>
      </c>
      <c r="I288">
        <v>2013</v>
      </c>
      <c r="K288">
        <v>2013</v>
      </c>
      <c r="L288" t="s">
        <v>81</v>
      </c>
    </row>
    <row r="289" spans="1:12" x14ac:dyDescent="0.35">
      <c r="A289" t="s">
        <v>12</v>
      </c>
      <c r="B289" t="s">
        <v>84</v>
      </c>
      <c r="C289" t="s">
        <v>26</v>
      </c>
      <c r="D289">
        <v>4.96</v>
      </c>
      <c r="E289">
        <v>540</v>
      </c>
      <c r="F289">
        <v>4.3499999999999996</v>
      </c>
      <c r="G289">
        <v>344</v>
      </c>
      <c r="H289">
        <v>9468</v>
      </c>
      <c r="I289">
        <v>2054</v>
      </c>
      <c r="K289">
        <v>2014</v>
      </c>
      <c r="L289" t="s">
        <v>85</v>
      </c>
    </row>
    <row r="290" spans="1:12" x14ac:dyDescent="0.35">
      <c r="A290" t="s">
        <v>12</v>
      </c>
      <c r="B290" t="s">
        <v>84</v>
      </c>
      <c r="C290" t="s">
        <v>43</v>
      </c>
      <c r="D290">
        <v>5.68</v>
      </c>
      <c r="E290">
        <v>12079</v>
      </c>
      <c r="F290">
        <v>5.23</v>
      </c>
      <c r="G290">
        <v>23192</v>
      </c>
      <c r="H290">
        <v>548032.27</v>
      </c>
      <c r="I290">
        <v>61806</v>
      </c>
      <c r="K290">
        <v>2014</v>
      </c>
      <c r="L290" t="s">
        <v>85</v>
      </c>
    </row>
    <row r="291" spans="1:12" x14ac:dyDescent="0.35">
      <c r="A291" t="s">
        <v>12</v>
      </c>
      <c r="B291" t="s">
        <v>84</v>
      </c>
      <c r="C291" t="s">
        <v>40</v>
      </c>
      <c r="D291">
        <v>3.53</v>
      </c>
      <c r="E291">
        <v>815</v>
      </c>
      <c r="F291">
        <v>3.65</v>
      </c>
      <c r="G291">
        <v>149</v>
      </c>
      <c r="H291">
        <v>7065</v>
      </c>
      <c r="I291">
        <v>3148</v>
      </c>
      <c r="K291">
        <v>2014</v>
      </c>
      <c r="L291" t="s">
        <v>85</v>
      </c>
    </row>
    <row r="292" spans="1:12" x14ac:dyDescent="0.35">
      <c r="A292" t="s">
        <v>12</v>
      </c>
      <c r="B292" t="s">
        <v>84</v>
      </c>
      <c r="C292" t="s">
        <v>37</v>
      </c>
      <c r="D292">
        <v>5.97</v>
      </c>
      <c r="E292">
        <v>6649</v>
      </c>
      <c r="F292">
        <v>3.79</v>
      </c>
      <c r="G292">
        <v>19367</v>
      </c>
      <c r="H292">
        <v>217254</v>
      </c>
      <c r="I292">
        <v>36474</v>
      </c>
      <c r="K292">
        <v>2014</v>
      </c>
      <c r="L292" t="s">
        <v>85</v>
      </c>
    </row>
    <row r="293" spans="1:12" x14ac:dyDescent="0.35">
      <c r="A293" t="s">
        <v>12</v>
      </c>
      <c r="B293" t="s">
        <v>84</v>
      </c>
      <c r="C293" t="s">
        <v>36</v>
      </c>
      <c r="D293">
        <v>11.85</v>
      </c>
      <c r="E293">
        <v>223</v>
      </c>
      <c r="F293">
        <v>4.29</v>
      </c>
      <c r="G293">
        <v>25</v>
      </c>
      <c r="H293">
        <v>2673</v>
      </c>
      <c r="I293">
        <v>749</v>
      </c>
      <c r="K293">
        <v>2014</v>
      </c>
      <c r="L293" t="s">
        <v>85</v>
      </c>
    </row>
    <row r="294" spans="1:12" x14ac:dyDescent="0.35">
      <c r="A294" t="s">
        <v>12</v>
      </c>
      <c r="B294" t="s">
        <v>84</v>
      </c>
      <c r="C294" t="s">
        <v>35</v>
      </c>
      <c r="D294">
        <v>3.61</v>
      </c>
      <c r="E294">
        <v>813</v>
      </c>
      <c r="F294">
        <v>2.11</v>
      </c>
      <c r="G294">
        <v>869</v>
      </c>
      <c r="H294">
        <v>7653</v>
      </c>
      <c r="I294">
        <v>4998</v>
      </c>
      <c r="K294">
        <v>2014</v>
      </c>
      <c r="L294" t="s">
        <v>85</v>
      </c>
    </row>
    <row r="295" spans="1:12" x14ac:dyDescent="0.35">
      <c r="A295" t="s">
        <v>12</v>
      </c>
      <c r="B295" t="s">
        <v>84</v>
      </c>
      <c r="C295" t="s">
        <v>32</v>
      </c>
      <c r="D295">
        <v>6.7</v>
      </c>
      <c r="E295">
        <v>4977</v>
      </c>
      <c r="F295">
        <v>2.2999999999999998</v>
      </c>
      <c r="G295">
        <v>14187</v>
      </c>
      <c r="H295">
        <v>110187</v>
      </c>
      <c r="I295">
        <v>32864</v>
      </c>
      <c r="K295">
        <v>2014</v>
      </c>
      <c r="L295" t="s">
        <v>85</v>
      </c>
    </row>
    <row r="296" spans="1:12" x14ac:dyDescent="0.35">
      <c r="A296" t="s">
        <v>12</v>
      </c>
      <c r="B296" t="s">
        <v>84</v>
      </c>
      <c r="C296" t="s">
        <v>31</v>
      </c>
      <c r="D296">
        <v>4.83</v>
      </c>
      <c r="E296">
        <v>7765</v>
      </c>
      <c r="F296">
        <v>5.48</v>
      </c>
      <c r="G296">
        <v>7735</v>
      </c>
      <c r="H296">
        <v>333368</v>
      </c>
      <c r="I296">
        <v>39257</v>
      </c>
      <c r="K296">
        <v>2014</v>
      </c>
      <c r="L296" t="s">
        <v>85</v>
      </c>
    </row>
    <row r="297" spans="1:12" x14ac:dyDescent="0.35">
      <c r="A297" t="s">
        <v>12</v>
      </c>
      <c r="B297" t="s">
        <v>84</v>
      </c>
      <c r="C297" t="s">
        <v>28</v>
      </c>
      <c r="E297">
        <v>2447</v>
      </c>
      <c r="F297">
        <v>3.61</v>
      </c>
      <c r="I297">
        <v>8018</v>
      </c>
      <c r="K297">
        <v>2014</v>
      </c>
      <c r="L297" t="s">
        <v>85</v>
      </c>
    </row>
    <row r="298" spans="1:12" x14ac:dyDescent="0.35">
      <c r="A298" t="s">
        <v>12</v>
      </c>
      <c r="B298" t="s">
        <v>84</v>
      </c>
      <c r="C298" t="s">
        <v>27</v>
      </c>
      <c r="D298">
        <v>10.41</v>
      </c>
      <c r="E298">
        <v>610</v>
      </c>
      <c r="F298">
        <v>4.2300000000000004</v>
      </c>
      <c r="G298">
        <v>46</v>
      </c>
      <c r="H298">
        <v>179</v>
      </c>
      <c r="I298">
        <v>1720</v>
      </c>
      <c r="K298">
        <v>2014</v>
      </c>
      <c r="L298" t="s">
        <v>85</v>
      </c>
    </row>
    <row r="299" spans="1:12" x14ac:dyDescent="0.35">
      <c r="A299" t="s">
        <v>12</v>
      </c>
      <c r="B299" t="s">
        <v>84</v>
      </c>
      <c r="C299" t="s">
        <v>69</v>
      </c>
      <c r="D299">
        <v>4.2300000000000004</v>
      </c>
      <c r="E299">
        <v>8321</v>
      </c>
      <c r="F299">
        <v>4.82</v>
      </c>
      <c r="G299">
        <v>10349</v>
      </c>
      <c r="H299">
        <v>354490</v>
      </c>
      <c r="I299">
        <v>37326</v>
      </c>
      <c r="K299">
        <v>2014</v>
      </c>
      <c r="L299" t="s">
        <v>85</v>
      </c>
    </row>
    <row r="300" spans="1:12" x14ac:dyDescent="0.35">
      <c r="A300" t="s">
        <v>12</v>
      </c>
      <c r="B300" t="s">
        <v>84</v>
      </c>
      <c r="C300" t="s">
        <v>23</v>
      </c>
      <c r="D300">
        <v>6.97</v>
      </c>
      <c r="E300">
        <v>5691</v>
      </c>
      <c r="F300">
        <v>4.1900000000000004</v>
      </c>
      <c r="G300">
        <v>11059</v>
      </c>
      <c r="H300">
        <v>5537</v>
      </c>
      <c r="I300">
        <v>40812</v>
      </c>
      <c r="K300">
        <v>2014</v>
      </c>
      <c r="L300" t="s">
        <v>85</v>
      </c>
    </row>
    <row r="301" spans="1:12" x14ac:dyDescent="0.35">
      <c r="A301" t="s">
        <v>12</v>
      </c>
      <c r="B301" t="s">
        <v>84</v>
      </c>
      <c r="C301" t="s">
        <v>22</v>
      </c>
      <c r="D301">
        <v>4.58</v>
      </c>
      <c r="E301">
        <v>17957</v>
      </c>
      <c r="F301">
        <v>4.76</v>
      </c>
      <c r="G301">
        <v>24557</v>
      </c>
      <c r="H301">
        <v>649286</v>
      </c>
      <c r="I301">
        <v>107500</v>
      </c>
      <c r="K301">
        <v>2014</v>
      </c>
      <c r="L301" t="s">
        <v>85</v>
      </c>
    </row>
    <row r="302" spans="1:12" x14ac:dyDescent="0.35">
      <c r="A302" t="s">
        <v>12</v>
      </c>
      <c r="B302" t="s">
        <v>84</v>
      </c>
      <c r="C302" t="s">
        <v>20</v>
      </c>
      <c r="D302">
        <v>5.62</v>
      </c>
      <c r="E302">
        <v>63</v>
      </c>
      <c r="F302">
        <v>4.45</v>
      </c>
      <c r="G302">
        <v>4</v>
      </c>
      <c r="H302">
        <v>399</v>
      </c>
      <c r="I302">
        <v>286</v>
      </c>
      <c r="K302">
        <v>2014</v>
      </c>
      <c r="L302" t="s">
        <v>85</v>
      </c>
    </row>
    <row r="303" spans="1:12" x14ac:dyDescent="0.35">
      <c r="A303" t="s">
        <v>12</v>
      </c>
      <c r="B303" t="s">
        <v>84</v>
      </c>
      <c r="C303" t="s">
        <v>52</v>
      </c>
      <c r="D303">
        <v>6.15</v>
      </c>
      <c r="E303">
        <v>661</v>
      </c>
      <c r="F303">
        <v>4.09</v>
      </c>
      <c r="G303">
        <v>764</v>
      </c>
      <c r="H303">
        <v>13800</v>
      </c>
      <c r="I303">
        <v>2370</v>
      </c>
      <c r="K303">
        <v>2014</v>
      </c>
      <c r="L303" t="s">
        <v>85</v>
      </c>
    </row>
    <row r="304" spans="1:12" x14ac:dyDescent="0.35">
      <c r="A304" t="s">
        <v>12</v>
      </c>
      <c r="B304" t="s">
        <v>84</v>
      </c>
      <c r="C304" t="s">
        <v>50</v>
      </c>
      <c r="D304">
        <v>5.68</v>
      </c>
      <c r="E304">
        <v>4320</v>
      </c>
      <c r="F304">
        <v>5.15</v>
      </c>
      <c r="G304">
        <v>4891</v>
      </c>
      <c r="H304">
        <v>153146</v>
      </c>
      <c r="I304">
        <v>18412</v>
      </c>
      <c r="K304">
        <v>2014</v>
      </c>
      <c r="L304" t="s">
        <v>85</v>
      </c>
    </row>
    <row r="305" spans="1:12" x14ac:dyDescent="0.35">
      <c r="A305" t="s">
        <v>12</v>
      </c>
      <c r="B305" t="s">
        <v>84</v>
      </c>
      <c r="C305" t="s">
        <v>78</v>
      </c>
      <c r="K305">
        <v>2014</v>
      </c>
      <c r="L305" t="s">
        <v>85</v>
      </c>
    </row>
    <row r="306" spans="1:12" x14ac:dyDescent="0.35">
      <c r="A306" t="s">
        <v>12</v>
      </c>
      <c r="B306" t="s">
        <v>84</v>
      </c>
      <c r="C306" t="s">
        <v>49</v>
      </c>
      <c r="D306">
        <v>5.67</v>
      </c>
      <c r="E306">
        <v>4738</v>
      </c>
      <c r="F306">
        <v>5.17</v>
      </c>
      <c r="G306">
        <v>8304</v>
      </c>
      <c r="H306">
        <v>179303</v>
      </c>
      <c r="I306">
        <v>23573</v>
      </c>
      <c r="K306">
        <v>2014</v>
      </c>
      <c r="L306" t="s">
        <v>85</v>
      </c>
    </row>
    <row r="307" spans="1:12" x14ac:dyDescent="0.35">
      <c r="A307" t="s">
        <v>12</v>
      </c>
      <c r="B307" t="s">
        <v>84</v>
      </c>
      <c r="C307" t="s">
        <v>48</v>
      </c>
      <c r="D307">
        <v>4.8899999999999997</v>
      </c>
      <c r="E307">
        <v>446</v>
      </c>
      <c r="F307">
        <v>4.6900000000000004</v>
      </c>
      <c r="G307">
        <v>64</v>
      </c>
      <c r="H307">
        <v>19949</v>
      </c>
      <c r="I307">
        <v>606</v>
      </c>
      <c r="K307">
        <v>2014</v>
      </c>
      <c r="L307" t="s">
        <v>85</v>
      </c>
    </row>
    <row r="308" spans="1:12" x14ac:dyDescent="0.35">
      <c r="A308" t="s">
        <v>12</v>
      </c>
      <c r="B308" t="s">
        <v>84</v>
      </c>
      <c r="C308" t="s">
        <v>57</v>
      </c>
      <c r="D308">
        <v>8</v>
      </c>
      <c r="E308">
        <v>907</v>
      </c>
      <c r="F308">
        <v>4.4400000000000004</v>
      </c>
      <c r="I308">
        <v>3046</v>
      </c>
      <c r="K308">
        <v>2014</v>
      </c>
      <c r="L308" t="s">
        <v>85</v>
      </c>
    </row>
    <row r="309" spans="1:12" x14ac:dyDescent="0.35">
      <c r="A309" t="s">
        <v>12</v>
      </c>
      <c r="B309" t="s">
        <v>84</v>
      </c>
      <c r="C309" t="s">
        <v>51</v>
      </c>
      <c r="D309">
        <v>4.18</v>
      </c>
      <c r="E309">
        <v>4704</v>
      </c>
      <c r="F309">
        <v>5.01</v>
      </c>
      <c r="G309">
        <v>3582</v>
      </c>
      <c r="H309">
        <v>223386</v>
      </c>
      <c r="I309">
        <v>20551</v>
      </c>
      <c r="K309">
        <v>2014</v>
      </c>
      <c r="L309" t="s">
        <v>85</v>
      </c>
    </row>
    <row r="310" spans="1:12" x14ac:dyDescent="0.35">
      <c r="A310" t="s">
        <v>12</v>
      </c>
      <c r="B310" t="s">
        <v>84</v>
      </c>
      <c r="C310" t="s">
        <v>17</v>
      </c>
      <c r="D310">
        <v>5.0999999999999996</v>
      </c>
      <c r="E310">
        <v>590</v>
      </c>
      <c r="F310">
        <v>4.12</v>
      </c>
      <c r="G310">
        <v>49</v>
      </c>
      <c r="H310">
        <v>11783</v>
      </c>
      <c r="I310">
        <v>2148</v>
      </c>
      <c r="K310">
        <v>2014</v>
      </c>
      <c r="L310" t="s">
        <v>85</v>
      </c>
    </row>
    <row r="311" spans="1:12" x14ac:dyDescent="0.35">
      <c r="A311" t="s">
        <v>12</v>
      </c>
      <c r="B311" t="s">
        <v>84</v>
      </c>
      <c r="C311" t="s">
        <v>65</v>
      </c>
      <c r="D311">
        <v>6.32</v>
      </c>
      <c r="E311">
        <v>10329</v>
      </c>
      <c r="F311">
        <v>5.12</v>
      </c>
      <c r="G311">
        <v>33391</v>
      </c>
      <c r="H311">
        <v>436291</v>
      </c>
      <c r="I311">
        <v>56740</v>
      </c>
      <c r="K311">
        <v>2014</v>
      </c>
      <c r="L311" t="s">
        <v>85</v>
      </c>
    </row>
    <row r="312" spans="1:12" x14ac:dyDescent="0.35">
      <c r="A312" t="s">
        <v>12</v>
      </c>
      <c r="B312" t="s">
        <v>84</v>
      </c>
      <c r="C312" t="s">
        <v>46</v>
      </c>
      <c r="D312">
        <v>7</v>
      </c>
      <c r="E312">
        <v>48</v>
      </c>
      <c r="F312">
        <v>5.0999999999999996</v>
      </c>
      <c r="G312">
        <v>2</v>
      </c>
      <c r="H312">
        <v>1</v>
      </c>
      <c r="I312">
        <v>396</v>
      </c>
      <c r="K312">
        <v>2014</v>
      </c>
      <c r="L312" t="s">
        <v>85</v>
      </c>
    </row>
    <row r="313" spans="1:12" x14ac:dyDescent="0.35">
      <c r="A313" t="s">
        <v>12</v>
      </c>
      <c r="B313" t="s">
        <v>84</v>
      </c>
      <c r="C313" t="s">
        <v>47</v>
      </c>
      <c r="D313">
        <v>4.38</v>
      </c>
      <c r="E313">
        <v>9415</v>
      </c>
      <c r="F313">
        <v>5.18</v>
      </c>
      <c r="G313">
        <v>5440</v>
      </c>
      <c r="H313">
        <v>283054</v>
      </c>
      <c r="I313">
        <v>24913</v>
      </c>
      <c r="K313">
        <v>2014</v>
      </c>
      <c r="L313" t="s">
        <v>85</v>
      </c>
    </row>
    <row r="314" spans="1:12" x14ac:dyDescent="0.35">
      <c r="A314" t="s">
        <v>12</v>
      </c>
      <c r="B314" t="s">
        <v>84</v>
      </c>
      <c r="C314" t="s">
        <v>55</v>
      </c>
      <c r="D314">
        <v>6</v>
      </c>
      <c r="E314">
        <v>1147</v>
      </c>
      <c r="F314">
        <v>4.6399999999999997</v>
      </c>
      <c r="G314">
        <v>375</v>
      </c>
      <c r="I314">
        <v>4260</v>
      </c>
      <c r="K314">
        <v>2014</v>
      </c>
      <c r="L314" t="s">
        <v>85</v>
      </c>
    </row>
    <row r="315" spans="1:12" x14ac:dyDescent="0.35">
      <c r="A315" t="s">
        <v>12</v>
      </c>
      <c r="B315" t="s">
        <v>84</v>
      </c>
      <c r="C315" t="s">
        <v>72</v>
      </c>
      <c r="K315">
        <v>2014</v>
      </c>
      <c r="L315" t="s">
        <v>85</v>
      </c>
    </row>
    <row r="316" spans="1:12" x14ac:dyDescent="0.35">
      <c r="A316" t="s">
        <v>12</v>
      </c>
      <c r="B316" t="s">
        <v>84</v>
      </c>
      <c r="C316" t="s">
        <v>73</v>
      </c>
      <c r="K316">
        <v>2014</v>
      </c>
      <c r="L316" t="s">
        <v>85</v>
      </c>
    </row>
    <row r="317" spans="1:12" x14ac:dyDescent="0.35">
      <c r="A317" t="s">
        <v>12</v>
      </c>
      <c r="B317" t="s">
        <v>84</v>
      </c>
      <c r="C317" t="s">
        <v>19</v>
      </c>
      <c r="D317">
        <v>5.98</v>
      </c>
      <c r="E317">
        <v>3787</v>
      </c>
      <c r="F317">
        <v>4.3499999999999996</v>
      </c>
      <c r="G317">
        <v>18120</v>
      </c>
      <c r="H317">
        <v>189963</v>
      </c>
      <c r="I317">
        <v>25219</v>
      </c>
      <c r="K317">
        <v>2014</v>
      </c>
      <c r="L317" t="s">
        <v>85</v>
      </c>
    </row>
    <row r="318" spans="1:12" x14ac:dyDescent="0.35">
      <c r="A318" t="s">
        <v>12</v>
      </c>
      <c r="B318" t="s">
        <v>84</v>
      </c>
      <c r="C318" t="s">
        <v>58</v>
      </c>
      <c r="D318">
        <v>7</v>
      </c>
      <c r="E318">
        <v>1242</v>
      </c>
      <c r="F318">
        <v>4.54</v>
      </c>
      <c r="G318">
        <v>919</v>
      </c>
      <c r="H318">
        <v>1327</v>
      </c>
      <c r="I318">
        <v>2837</v>
      </c>
      <c r="K318">
        <v>2014</v>
      </c>
      <c r="L318" t="s">
        <v>85</v>
      </c>
    </row>
    <row r="319" spans="1:12" x14ac:dyDescent="0.35">
      <c r="A319" t="s">
        <v>12</v>
      </c>
      <c r="B319" t="s">
        <v>84</v>
      </c>
      <c r="C319" t="s">
        <v>21</v>
      </c>
      <c r="D319">
        <v>4.08</v>
      </c>
      <c r="E319">
        <v>1104</v>
      </c>
      <c r="F319">
        <v>5.16</v>
      </c>
      <c r="G319">
        <v>271</v>
      </c>
      <c r="H319">
        <v>77552</v>
      </c>
      <c r="I319">
        <v>6997</v>
      </c>
      <c r="K319">
        <v>2014</v>
      </c>
      <c r="L319" t="s">
        <v>85</v>
      </c>
    </row>
    <row r="320" spans="1:12" x14ac:dyDescent="0.35">
      <c r="A320" t="s">
        <v>12</v>
      </c>
      <c r="B320" t="s">
        <v>84</v>
      </c>
      <c r="C320" t="s">
        <v>25</v>
      </c>
      <c r="D320">
        <v>5.88</v>
      </c>
      <c r="E320">
        <v>3184</v>
      </c>
      <c r="F320">
        <v>5.19</v>
      </c>
      <c r="G320">
        <v>9015</v>
      </c>
      <c r="H320">
        <v>228832</v>
      </c>
      <c r="I320">
        <v>18964</v>
      </c>
      <c r="K320">
        <v>2014</v>
      </c>
      <c r="L320" t="s">
        <v>85</v>
      </c>
    </row>
    <row r="321" spans="1:12" x14ac:dyDescent="0.35">
      <c r="A321" t="s">
        <v>12</v>
      </c>
      <c r="B321" t="s">
        <v>84</v>
      </c>
      <c r="C321" t="s">
        <v>29</v>
      </c>
      <c r="D321">
        <v>5.77</v>
      </c>
      <c r="E321">
        <v>3783</v>
      </c>
      <c r="F321">
        <v>5.63</v>
      </c>
      <c r="G321">
        <v>14272</v>
      </c>
      <c r="H321">
        <v>333661</v>
      </c>
      <c r="I321">
        <v>23198</v>
      </c>
      <c r="K321">
        <v>2014</v>
      </c>
      <c r="L321" t="s">
        <v>85</v>
      </c>
    </row>
    <row r="322" spans="1:12" x14ac:dyDescent="0.35">
      <c r="A322" t="s">
        <v>12</v>
      </c>
      <c r="B322" t="s">
        <v>84</v>
      </c>
      <c r="C322" t="s">
        <v>34</v>
      </c>
      <c r="D322">
        <v>5.52</v>
      </c>
      <c r="E322">
        <v>2516</v>
      </c>
      <c r="F322">
        <v>5.4</v>
      </c>
      <c r="G322">
        <v>6564</v>
      </c>
      <c r="H322">
        <v>187391</v>
      </c>
      <c r="I322">
        <v>14850</v>
      </c>
      <c r="K322">
        <v>2014</v>
      </c>
      <c r="L322" t="s">
        <v>85</v>
      </c>
    </row>
    <row r="323" spans="1:12" x14ac:dyDescent="0.35">
      <c r="A323" t="s">
        <v>12</v>
      </c>
      <c r="B323" t="s">
        <v>84</v>
      </c>
      <c r="C323" t="s">
        <v>38</v>
      </c>
      <c r="D323">
        <v>6.58</v>
      </c>
      <c r="E323">
        <v>2230</v>
      </c>
      <c r="F323">
        <v>5.53</v>
      </c>
      <c r="G323">
        <v>5582</v>
      </c>
      <c r="H323">
        <v>153058</v>
      </c>
      <c r="I323">
        <v>7444</v>
      </c>
      <c r="K323">
        <v>2014</v>
      </c>
      <c r="L323" t="s">
        <v>85</v>
      </c>
    </row>
    <row r="324" spans="1:12" x14ac:dyDescent="0.35">
      <c r="A324" t="s">
        <v>12</v>
      </c>
      <c r="B324" t="s">
        <v>84</v>
      </c>
      <c r="C324" t="s">
        <v>42</v>
      </c>
      <c r="D324">
        <v>5.65</v>
      </c>
      <c r="E324">
        <v>3528</v>
      </c>
      <c r="F324">
        <v>5.59</v>
      </c>
      <c r="G324">
        <v>8450</v>
      </c>
      <c r="H324">
        <v>293360</v>
      </c>
      <c r="I324">
        <v>22573</v>
      </c>
      <c r="K324">
        <v>2014</v>
      </c>
      <c r="L324" t="s">
        <v>85</v>
      </c>
    </row>
    <row r="325" spans="1:12" x14ac:dyDescent="0.35">
      <c r="A325" t="s">
        <v>12</v>
      </c>
      <c r="B325" t="s">
        <v>84</v>
      </c>
      <c r="C325" t="s">
        <v>76</v>
      </c>
      <c r="K325">
        <v>2014</v>
      </c>
      <c r="L325" t="s">
        <v>85</v>
      </c>
    </row>
    <row r="326" spans="1:12" x14ac:dyDescent="0.35">
      <c r="A326" t="s">
        <v>12</v>
      </c>
      <c r="B326" t="s">
        <v>84</v>
      </c>
      <c r="C326" t="s">
        <v>41</v>
      </c>
      <c r="D326">
        <v>8.2100000000000009</v>
      </c>
      <c r="E326">
        <v>266</v>
      </c>
      <c r="F326">
        <v>3.77</v>
      </c>
      <c r="G326">
        <v>101</v>
      </c>
      <c r="H326">
        <v>105</v>
      </c>
      <c r="I326">
        <v>858</v>
      </c>
      <c r="K326">
        <v>2014</v>
      </c>
      <c r="L326" t="s">
        <v>85</v>
      </c>
    </row>
    <row r="327" spans="1:12" x14ac:dyDescent="0.35">
      <c r="A327" t="s">
        <v>12</v>
      </c>
      <c r="B327" t="s">
        <v>84</v>
      </c>
      <c r="C327" t="s">
        <v>56</v>
      </c>
      <c r="E327">
        <v>173</v>
      </c>
      <c r="F327">
        <v>2.48</v>
      </c>
      <c r="G327">
        <v>18</v>
      </c>
      <c r="H327">
        <v>79</v>
      </c>
      <c r="I327">
        <v>808</v>
      </c>
      <c r="K327">
        <v>2014</v>
      </c>
      <c r="L327" t="s">
        <v>85</v>
      </c>
    </row>
    <row r="328" spans="1:12" x14ac:dyDescent="0.35">
      <c r="A328" t="s">
        <v>12</v>
      </c>
      <c r="B328" t="s">
        <v>84</v>
      </c>
      <c r="C328" t="s">
        <v>33</v>
      </c>
      <c r="D328">
        <v>6.35</v>
      </c>
      <c r="E328">
        <v>432</v>
      </c>
      <c r="F328">
        <v>3.5</v>
      </c>
      <c r="G328">
        <v>478</v>
      </c>
      <c r="H328">
        <v>15441</v>
      </c>
      <c r="I328">
        <v>2102</v>
      </c>
      <c r="K328">
        <v>2014</v>
      </c>
      <c r="L328" t="s">
        <v>85</v>
      </c>
    </row>
    <row r="329" spans="1:12" x14ac:dyDescent="0.35">
      <c r="A329" t="s">
        <v>12</v>
      </c>
      <c r="B329" t="s">
        <v>84</v>
      </c>
      <c r="C329" t="s">
        <v>30</v>
      </c>
      <c r="D329">
        <v>3.36</v>
      </c>
      <c r="E329">
        <v>4083</v>
      </c>
      <c r="F329">
        <v>4.75</v>
      </c>
      <c r="G329">
        <v>4683</v>
      </c>
      <c r="H329">
        <v>169225</v>
      </c>
      <c r="I329">
        <v>18259</v>
      </c>
      <c r="K329">
        <v>2014</v>
      </c>
      <c r="L329" t="s">
        <v>85</v>
      </c>
    </row>
    <row r="330" spans="1:12" x14ac:dyDescent="0.35">
      <c r="A330" t="s">
        <v>12</v>
      </c>
      <c r="B330" t="s">
        <v>84</v>
      </c>
      <c r="C330" t="s">
        <v>18</v>
      </c>
      <c r="D330">
        <v>6</v>
      </c>
      <c r="E330">
        <v>33</v>
      </c>
      <c r="F330">
        <v>3.2</v>
      </c>
      <c r="G330">
        <v>0</v>
      </c>
      <c r="H330">
        <v>229</v>
      </c>
      <c r="I330">
        <v>418</v>
      </c>
      <c r="K330">
        <v>2014</v>
      </c>
      <c r="L330" t="s">
        <v>85</v>
      </c>
    </row>
    <row r="331" spans="1:12" x14ac:dyDescent="0.35">
      <c r="A331" t="s">
        <v>12</v>
      </c>
      <c r="B331" t="s">
        <v>84</v>
      </c>
      <c r="C331" t="s">
        <v>16</v>
      </c>
      <c r="D331">
        <v>5.9</v>
      </c>
      <c r="E331">
        <v>193</v>
      </c>
      <c r="F331">
        <v>3.9</v>
      </c>
      <c r="G331">
        <v>16</v>
      </c>
      <c r="H331">
        <v>1388</v>
      </c>
      <c r="I331">
        <v>1050</v>
      </c>
      <c r="K331">
        <v>2014</v>
      </c>
      <c r="L331" t="s">
        <v>85</v>
      </c>
    </row>
    <row r="332" spans="1:12" x14ac:dyDescent="0.35">
      <c r="A332" t="s">
        <v>12</v>
      </c>
      <c r="B332" t="s">
        <v>84</v>
      </c>
      <c r="C332" t="s">
        <v>59</v>
      </c>
      <c r="D332">
        <v>7</v>
      </c>
      <c r="E332">
        <v>376</v>
      </c>
      <c r="F332">
        <v>4.55</v>
      </c>
      <c r="G332">
        <v>104</v>
      </c>
      <c r="H332">
        <v>296</v>
      </c>
      <c r="I332">
        <v>4252</v>
      </c>
      <c r="K332">
        <v>2014</v>
      </c>
      <c r="L332" t="s">
        <v>85</v>
      </c>
    </row>
    <row r="333" spans="1:12" x14ac:dyDescent="0.35">
      <c r="A333" t="s">
        <v>12</v>
      </c>
      <c r="B333" t="s">
        <v>84</v>
      </c>
      <c r="C333" t="s">
        <v>60</v>
      </c>
      <c r="D333">
        <v>10</v>
      </c>
      <c r="E333">
        <v>85</v>
      </c>
      <c r="F333">
        <v>3.3</v>
      </c>
      <c r="G333">
        <v>13</v>
      </c>
      <c r="H333">
        <v>460</v>
      </c>
      <c r="I333">
        <v>774</v>
      </c>
      <c r="K333">
        <v>2014</v>
      </c>
      <c r="L333" t="s">
        <v>85</v>
      </c>
    </row>
    <row r="334" spans="1:12" x14ac:dyDescent="0.35">
      <c r="A334" t="s">
        <v>12</v>
      </c>
      <c r="B334" t="s">
        <v>84</v>
      </c>
      <c r="C334" t="s">
        <v>44</v>
      </c>
      <c r="D334">
        <v>4.9800000000000004</v>
      </c>
      <c r="E334">
        <v>946</v>
      </c>
      <c r="F334">
        <v>3.21</v>
      </c>
      <c r="G334">
        <v>2024</v>
      </c>
      <c r="H334">
        <v>15852</v>
      </c>
      <c r="I334">
        <v>5503</v>
      </c>
      <c r="K334">
        <v>2014</v>
      </c>
      <c r="L334" t="s">
        <v>85</v>
      </c>
    </row>
    <row r="335" spans="1:12" x14ac:dyDescent="0.35">
      <c r="A335" t="s">
        <v>12</v>
      </c>
      <c r="B335" t="s">
        <v>84</v>
      </c>
      <c r="C335" t="s">
        <v>39</v>
      </c>
      <c r="D335">
        <v>8.36</v>
      </c>
      <c r="E335">
        <v>4247</v>
      </c>
      <c r="F335">
        <v>2.84</v>
      </c>
      <c r="G335">
        <v>12216</v>
      </c>
      <c r="H335">
        <v>90716</v>
      </c>
      <c r="I335">
        <v>35705</v>
      </c>
      <c r="K335">
        <v>2014</v>
      </c>
      <c r="L335" t="s">
        <v>85</v>
      </c>
    </row>
    <row r="336" spans="1:12" x14ac:dyDescent="0.35">
      <c r="A336" t="s">
        <v>12</v>
      </c>
      <c r="B336" t="s">
        <v>84</v>
      </c>
      <c r="C336" t="s">
        <v>71</v>
      </c>
      <c r="K336">
        <v>2014</v>
      </c>
      <c r="L336" t="s">
        <v>85</v>
      </c>
    </row>
    <row r="337" spans="1:12" x14ac:dyDescent="0.35">
      <c r="A337" t="s">
        <v>12</v>
      </c>
      <c r="B337" t="s">
        <v>84</v>
      </c>
      <c r="C337" t="s">
        <v>14</v>
      </c>
      <c r="D337">
        <v>4.97</v>
      </c>
      <c r="E337">
        <v>360</v>
      </c>
      <c r="F337">
        <v>3.13</v>
      </c>
      <c r="G337">
        <v>801</v>
      </c>
      <c r="H337">
        <v>246</v>
      </c>
      <c r="I337">
        <v>2491</v>
      </c>
      <c r="K337">
        <v>2014</v>
      </c>
      <c r="L337" t="s">
        <v>85</v>
      </c>
    </row>
    <row r="338" spans="1:12" x14ac:dyDescent="0.35">
      <c r="A338" t="s">
        <v>12</v>
      </c>
      <c r="B338" t="s">
        <v>84</v>
      </c>
      <c r="C338" t="s">
        <v>45</v>
      </c>
      <c r="D338">
        <v>8.0500000000000007</v>
      </c>
      <c r="E338">
        <v>2087</v>
      </c>
      <c r="F338">
        <v>3.22</v>
      </c>
      <c r="G338">
        <v>4444</v>
      </c>
      <c r="H338">
        <v>49400</v>
      </c>
      <c r="I338">
        <v>10186</v>
      </c>
      <c r="K338">
        <v>2014</v>
      </c>
      <c r="L338" t="s">
        <v>85</v>
      </c>
    </row>
    <row r="339" spans="1:12" x14ac:dyDescent="0.35">
      <c r="A339" t="s">
        <v>12</v>
      </c>
      <c r="B339" t="s">
        <v>84</v>
      </c>
      <c r="C339" t="s">
        <v>64</v>
      </c>
      <c r="E339">
        <v>183</v>
      </c>
      <c r="G339">
        <v>48</v>
      </c>
      <c r="H339">
        <v>16</v>
      </c>
      <c r="I339">
        <v>1070</v>
      </c>
      <c r="K339">
        <v>2014</v>
      </c>
      <c r="L339" t="s">
        <v>85</v>
      </c>
    </row>
    <row r="340" spans="1:12" x14ac:dyDescent="0.35">
      <c r="A340" t="s">
        <v>12</v>
      </c>
      <c r="B340" t="s">
        <v>84</v>
      </c>
      <c r="C340" t="s">
        <v>61</v>
      </c>
      <c r="D340">
        <v>3.2</v>
      </c>
      <c r="E340">
        <v>338</v>
      </c>
      <c r="F340">
        <v>2.8</v>
      </c>
      <c r="G340">
        <v>626</v>
      </c>
      <c r="H340">
        <v>4403</v>
      </c>
      <c r="I340">
        <v>2250</v>
      </c>
      <c r="K340">
        <v>2014</v>
      </c>
      <c r="L340" t="s">
        <v>85</v>
      </c>
    </row>
    <row r="341" spans="1:12" x14ac:dyDescent="0.35">
      <c r="A341" t="s">
        <v>12</v>
      </c>
      <c r="B341" t="s">
        <v>84</v>
      </c>
      <c r="C341" t="s">
        <v>79</v>
      </c>
      <c r="K341">
        <v>2014</v>
      </c>
      <c r="L341" t="s">
        <v>85</v>
      </c>
    </row>
    <row r="342" spans="1:12" x14ac:dyDescent="0.35">
      <c r="A342" t="s">
        <v>12</v>
      </c>
      <c r="B342" t="s">
        <v>84</v>
      </c>
      <c r="C342" t="s">
        <v>77</v>
      </c>
      <c r="K342">
        <v>2014</v>
      </c>
      <c r="L342" t="s">
        <v>85</v>
      </c>
    </row>
    <row r="343" spans="1:12" x14ac:dyDescent="0.35">
      <c r="A343" t="s">
        <v>12</v>
      </c>
      <c r="B343" t="s">
        <v>84</v>
      </c>
      <c r="C343" t="s">
        <v>75</v>
      </c>
      <c r="K343">
        <v>2014</v>
      </c>
      <c r="L343" t="s">
        <v>85</v>
      </c>
    </row>
    <row r="344" spans="1:12" x14ac:dyDescent="0.35">
      <c r="A344" t="s">
        <v>12</v>
      </c>
      <c r="B344" t="s">
        <v>84</v>
      </c>
      <c r="C344" t="s">
        <v>74</v>
      </c>
      <c r="K344">
        <v>2014</v>
      </c>
      <c r="L344" t="s">
        <v>85</v>
      </c>
    </row>
    <row r="345" spans="1:12" x14ac:dyDescent="0.35">
      <c r="A345" t="s">
        <v>12</v>
      </c>
      <c r="B345" t="s">
        <v>86</v>
      </c>
      <c r="C345" t="s">
        <v>18</v>
      </c>
      <c r="D345">
        <v>6.8</v>
      </c>
      <c r="E345">
        <v>32</v>
      </c>
      <c r="F345">
        <v>3.01</v>
      </c>
      <c r="G345">
        <v>0.42</v>
      </c>
      <c r="H345">
        <v>154.57</v>
      </c>
      <c r="I345">
        <v>383</v>
      </c>
      <c r="K345">
        <v>2015</v>
      </c>
      <c r="L345" t="s">
        <v>87</v>
      </c>
    </row>
    <row r="346" spans="1:12" x14ac:dyDescent="0.35">
      <c r="A346" t="s">
        <v>12</v>
      </c>
      <c r="B346" t="s">
        <v>86</v>
      </c>
      <c r="C346" t="s">
        <v>56</v>
      </c>
      <c r="E346">
        <v>164</v>
      </c>
      <c r="F346">
        <v>2.56</v>
      </c>
      <c r="G346">
        <v>12.66</v>
      </c>
      <c r="H346">
        <v>72</v>
      </c>
      <c r="I346">
        <v>815</v>
      </c>
      <c r="K346">
        <v>2015</v>
      </c>
      <c r="L346" t="s">
        <v>87</v>
      </c>
    </row>
    <row r="347" spans="1:12" x14ac:dyDescent="0.35">
      <c r="A347" t="s">
        <v>12</v>
      </c>
      <c r="B347" t="s">
        <v>86</v>
      </c>
      <c r="C347" t="s">
        <v>42</v>
      </c>
      <c r="D347">
        <v>6.2</v>
      </c>
      <c r="E347">
        <v>3590</v>
      </c>
      <c r="F347">
        <v>5.59</v>
      </c>
      <c r="G347">
        <v>8419.94</v>
      </c>
      <c r="H347">
        <v>298709.73</v>
      </c>
      <c r="I347">
        <v>22417</v>
      </c>
      <c r="K347">
        <v>2015</v>
      </c>
      <c r="L347" t="s">
        <v>87</v>
      </c>
    </row>
    <row r="348" spans="1:12" x14ac:dyDescent="0.35">
      <c r="A348" t="s">
        <v>12</v>
      </c>
      <c r="B348" t="s">
        <v>86</v>
      </c>
      <c r="C348" t="s">
        <v>59</v>
      </c>
      <c r="D348">
        <v>7</v>
      </c>
      <c r="E348">
        <v>484</v>
      </c>
      <c r="F348">
        <v>4.5199999999999996</v>
      </c>
      <c r="G348">
        <v>351.36</v>
      </c>
      <c r="H348">
        <v>10947.06</v>
      </c>
      <c r="I348">
        <v>3834</v>
      </c>
      <c r="K348">
        <v>2015</v>
      </c>
      <c r="L348" t="s">
        <v>87</v>
      </c>
    </row>
    <row r="349" spans="1:12" x14ac:dyDescent="0.35">
      <c r="A349" t="s">
        <v>12</v>
      </c>
      <c r="B349" t="s">
        <v>86</v>
      </c>
      <c r="C349" t="s">
        <v>76</v>
      </c>
      <c r="D349">
        <v>6.12</v>
      </c>
      <c r="E349">
        <v>1903</v>
      </c>
      <c r="F349">
        <v>5.18</v>
      </c>
      <c r="G349">
        <v>6673.7</v>
      </c>
      <c r="H349">
        <v>1408.37</v>
      </c>
      <c r="I349">
        <v>11920</v>
      </c>
      <c r="K349">
        <v>2015</v>
      </c>
      <c r="L349" t="s">
        <v>87</v>
      </c>
    </row>
    <row r="350" spans="1:12" x14ac:dyDescent="0.35">
      <c r="A350" t="s">
        <v>12</v>
      </c>
      <c r="B350" t="s">
        <v>86</v>
      </c>
      <c r="C350" t="s">
        <v>41</v>
      </c>
      <c r="D350">
        <v>7.32</v>
      </c>
      <c r="E350">
        <v>268</v>
      </c>
      <c r="F350">
        <v>3.72</v>
      </c>
      <c r="G350">
        <v>115.09</v>
      </c>
      <c r="H350">
        <v>105.8</v>
      </c>
      <c r="I350">
        <v>858</v>
      </c>
      <c r="K350">
        <v>2015</v>
      </c>
      <c r="L350" t="s">
        <v>87</v>
      </c>
    </row>
    <row r="351" spans="1:12" x14ac:dyDescent="0.35">
      <c r="A351" t="s">
        <v>12</v>
      </c>
      <c r="B351" t="s">
        <v>86</v>
      </c>
      <c r="C351" t="s">
        <v>72</v>
      </c>
      <c r="D351">
        <v>7</v>
      </c>
      <c r="E351">
        <v>143</v>
      </c>
      <c r="F351">
        <v>4.1399999999999997</v>
      </c>
      <c r="G351">
        <v>158.49</v>
      </c>
      <c r="H351">
        <v>131.99</v>
      </c>
      <c r="I351">
        <v>762</v>
      </c>
      <c r="K351">
        <v>2015</v>
      </c>
      <c r="L351" t="s">
        <v>87</v>
      </c>
    </row>
    <row r="352" spans="1:12" x14ac:dyDescent="0.35">
      <c r="A352" t="s">
        <v>12</v>
      </c>
      <c r="B352" t="s">
        <v>86</v>
      </c>
      <c r="C352" t="s">
        <v>19</v>
      </c>
      <c r="D352">
        <v>6.59</v>
      </c>
      <c r="E352">
        <v>3832</v>
      </c>
      <c r="F352">
        <v>4.3600000000000003</v>
      </c>
      <c r="G352">
        <v>17814.63</v>
      </c>
      <c r="H352">
        <v>190868.11</v>
      </c>
      <c r="I352">
        <v>24930</v>
      </c>
      <c r="K352">
        <v>2015</v>
      </c>
      <c r="L352" t="s">
        <v>87</v>
      </c>
    </row>
    <row r="353" spans="1:12" x14ac:dyDescent="0.35">
      <c r="A353" t="s">
        <v>12</v>
      </c>
      <c r="B353" t="s">
        <v>86</v>
      </c>
      <c r="C353" t="s">
        <v>55</v>
      </c>
      <c r="D353">
        <v>6</v>
      </c>
      <c r="E353">
        <v>1246</v>
      </c>
      <c r="F353">
        <v>4.63</v>
      </c>
      <c r="G353">
        <v>369.17</v>
      </c>
      <c r="H353">
        <v>1382</v>
      </c>
      <c r="I353">
        <v>4111</v>
      </c>
      <c r="K353">
        <v>2015</v>
      </c>
      <c r="L353" t="s">
        <v>87</v>
      </c>
    </row>
    <row r="354" spans="1:12" x14ac:dyDescent="0.35">
      <c r="A354" t="s">
        <v>12</v>
      </c>
      <c r="B354" t="s">
        <v>86</v>
      </c>
      <c r="C354" t="s">
        <v>58</v>
      </c>
      <c r="D354">
        <v>7</v>
      </c>
      <c r="E354">
        <v>1258</v>
      </c>
      <c r="F354">
        <v>4.63</v>
      </c>
      <c r="G354">
        <v>1046.76</v>
      </c>
      <c r="H354">
        <v>36603.660000000003</v>
      </c>
      <c r="I354">
        <v>3500</v>
      </c>
      <c r="K354">
        <v>2015</v>
      </c>
      <c r="L354" t="s">
        <v>87</v>
      </c>
    </row>
    <row r="355" spans="1:12" x14ac:dyDescent="0.35">
      <c r="A355" t="s">
        <v>12</v>
      </c>
      <c r="B355" t="s">
        <v>86</v>
      </c>
      <c r="C355" t="s">
        <v>60</v>
      </c>
      <c r="D355">
        <v>8</v>
      </c>
      <c r="E355">
        <v>126</v>
      </c>
      <c r="F355">
        <v>3.3</v>
      </c>
      <c r="G355">
        <v>14.06</v>
      </c>
      <c r="H355">
        <v>417.43</v>
      </c>
      <c r="I355">
        <v>723</v>
      </c>
      <c r="K355">
        <v>2015</v>
      </c>
      <c r="L355" t="s">
        <v>87</v>
      </c>
    </row>
    <row r="356" spans="1:12" x14ac:dyDescent="0.35">
      <c r="A356" t="s">
        <v>12</v>
      </c>
      <c r="B356" t="s">
        <v>86</v>
      </c>
      <c r="C356" t="s">
        <v>47</v>
      </c>
      <c r="D356">
        <v>5.19</v>
      </c>
      <c r="E356">
        <v>9577</v>
      </c>
      <c r="F356">
        <v>5.23</v>
      </c>
      <c r="G356">
        <v>5560.1</v>
      </c>
      <c r="H356">
        <v>418644</v>
      </c>
      <c r="I356">
        <v>23028</v>
      </c>
      <c r="K356">
        <v>2015</v>
      </c>
      <c r="L356" t="s">
        <v>87</v>
      </c>
    </row>
    <row r="357" spans="1:12" x14ac:dyDescent="0.35">
      <c r="A357" t="s">
        <v>12</v>
      </c>
      <c r="B357" t="s">
        <v>86</v>
      </c>
      <c r="C357" t="s">
        <v>46</v>
      </c>
      <c r="D357">
        <v>8</v>
      </c>
      <c r="E357">
        <v>47</v>
      </c>
      <c r="F357">
        <v>5.25</v>
      </c>
      <c r="G357">
        <v>2</v>
      </c>
      <c r="H357">
        <v>1</v>
      </c>
      <c r="I357">
        <v>353</v>
      </c>
      <c r="K357">
        <v>2015</v>
      </c>
      <c r="L357" t="s">
        <v>87</v>
      </c>
    </row>
    <row r="358" spans="1:12" x14ac:dyDescent="0.35">
      <c r="A358" t="s">
        <v>12</v>
      </c>
      <c r="B358" t="s">
        <v>86</v>
      </c>
      <c r="C358" t="s">
        <v>21</v>
      </c>
      <c r="D358">
        <v>4.0599999999999996</v>
      </c>
      <c r="E358">
        <v>1169</v>
      </c>
      <c r="F358">
        <v>5.19</v>
      </c>
      <c r="G358">
        <v>2259.62</v>
      </c>
      <c r="H358">
        <v>78934.11</v>
      </c>
      <c r="I358">
        <v>6677</v>
      </c>
      <c r="K358">
        <v>2015</v>
      </c>
      <c r="L358" t="s">
        <v>87</v>
      </c>
    </row>
    <row r="359" spans="1:12" x14ac:dyDescent="0.35">
      <c r="A359" t="s">
        <v>12</v>
      </c>
      <c r="B359" t="s">
        <v>86</v>
      </c>
      <c r="C359" t="s">
        <v>44</v>
      </c>
      <c r="D359">
        <v>6.34</v>
      </c>
      <c r="E359">
        <v>993</v>
      </c>
      <c r="F359">
        <v>3.26</v>
      </c>
      <c r="G359">
        <v>2274.9499999999998</v>
      </c>
      <c r="H359">
        <v>17902.189999999999</v>
      </c>
      <c r="I359">
        <v>5498</v>
      </c>
      <c r="K359">
        <v>2015</v>
      </c>
      <c r="L359" t="s">
        <v>87</v>
      </c>
    </row>
    <row r="360" spans="1:12" x14ac:dyDescent="0.35">
      <c r="A360" t="s">
        <v>12</v>
      </c>
      <c r="B360" t="s">
        <v>86</v>
      </c>
      <c r="C360" t="s">
        <v>65</v>
      </c>
      <c r="D360">
        <v>7.12</v>
      </c>
      <c r="E360">
        <v>10391</v>
      </c>
      <c r="F360">
        <v>5.0999999999999996</v>
      </c>
      <c r="G360">
        <v>32935.94</v>
      </c>
      <c r="H360">
        <v>435517.99</v>
      </c>
      <c r="I360">
        <v>55993</v>
      </c>
      <c r="K360">
        <v>2015</v>
      </c>
      <c r="L360" t="s">
        <v>87</v>
      </c>
    </row>
    <row r="361" spans="1:12" x14ac:dyDescent="0.35">
      <c r="A361" t="s">
        <v>12</v>
      </c>
      <c r="B361" t="s">
        <v>86</v>
      </c>
      <c r="C361" t="s">
        <v>17</v>
      </c>
      <c r="D361">
        <v>5.37</v>
      </c>
      <c r="E361">
        <v>662</v>
      </c>
      <c r="F361">
        <v>4.16</v>
      </c>
      <c r="G361">
        <v>165.58</v>
      </c>
      <c r="H361">
        <v>16585.41</v>
      </c>
      <c r="I361">
        <v>2127</v>
      </c>
      <c r="K361">
        <v>2015</v>
      </c>
      <c r="L361" t="s">
        <v>87</v>
      </c>
    </row>
    <row r="362" spans="1:12" x14ac:dyDescent="0.35">
      <c r="A362" t="s">
        <v>12</v>
      </c>
      <c r="B362" t="s">
        <v>86</v>
      </c>
      <c r="C362" t="s">
        <v>25</v>
      </c>
      <c r="D362">
        <v>6.1</v>
      </c>
      <c r="E362">
        <v>3249</v>
      </c>
      <c r="F362">
        <v>5.16</v>
      </c>
      <c r="G362">
        <v>9322.91</v>
      </c>
      <c r="H362">
        <v>236590.85</v>
      </c>
      <c r="I362">
        <v>19647</v>
      </c>
      <c r="K362">
        <v>2015</v>
      </c>
      <c r="L362" t="s">
        <v>87</v>
      </c>
    </row>
    <row r="363" spans="1:12" x14ac:dyDescent="0.35">
      <c r="A363" t="s">
        <v>12</v>
      </c>
      <c r="B363" t="s">
        <v>86</v>
      </c>
      <c r="C363" t="s">
        <v>39</v>
      </c>
      <c r="D363">
        <v>9.1</v>
      </c>
      <c r="E363">
        <v>4094</v>
      </c>
      <c r="F363">
        <v>2.84</v>
      </c>
      <c r="G363">
        <v>10610.84</v>
      </c>
      <c r="H363">
        <v>73489.929999999993</v>
      </c>
      <c r="I363">
        <v>34334</v>
      </c>
      <c r="K363">
        <v>2015</v>
      </c>
      <c r="L363" t="s">
        <v>87</v>
      </c>
    </row>
    <row r="364" spans="1:12" x14ac:dyDescent="0.35">
      <c r="A364" t="s">
        <v>12</v>
      </c>
      <c r="B364" t="s">
        <v>86</v>
      </c>
      <c r="C364" t="s">
        <v>51</v>
      </c>
      <c r="D364">
        <v>5.03</v>
      </c>
      <c r="E364">
        <v>4529</v>
      </c>
      <c r="F364">
        <v>5</v>
      </c>
      <c r="G364">
        <v>3387.78</v>
      </c>
      <c r="H364">
        <v>289216.13</v>
      </c>
      <c r="I364">
        <v>19163</v>
      </c>
      <c r="K364">
        <v>2015</v>
      </c>
      <c r="L364" t="s">
        <v>87</v>
      </c>
    </row>
    <row r="365" spans="1:12" x14ac:dyDescent="0.35">
      <c r="A365" t="s">
        <v>12</v>
      </c>
      <c r="B365" t="s">
        <v>86</v>
      </c>
      <c r="C365" t="s">
        <v>57</v>
      </c>
      <c r="D365">
        <v>8</v>
      </c>
      <c r="E365">
        <v>1025</v>
      </c>
      <c r="F365">
        <v>4.5199999999999996</v>
      </c>
      <c r="G365">
        <v>35.69</v>
      </c>
      <c r="H365">
        <v>1178.71</v>
      </c>
      <c r="I365">
        <v>3700</v>
      </c>
      <c r="K365">
        <v>2015</v>
      </c>
      <c r="L365" t="s">
        <v>87</v>
      </c>
    </row>
    <row r="366" spans="1:12" x14ac:dyDescent="0.35">
      <c r="A366" t="s">
        <v>12</v>
      </c>
      <c r="B366" t="s">
        <v>86</v>
      </c>
      <c r="C366" t="s">
        <v>16</v>
      </c>
      <c r="D366">
        <v>11.09</v>
      </c>
      <c r="E366">
        <v>223</v>
      </c>
      <c r="F366">
        <v>3.75</v>
      </c>
      <c r="G366">
        <v>13</v>
      </c>
      <c r="H366">
        <v>1360</v>
      </c>
      <c r="I366">
        <v>1050</v>
      </c>
      <c r="K366">
        <v>2015</v>
      </c>
      <c r="L366" t="s">
        <v>87</v>
      </c>
    </row>
    <row r="367" spans="1:12" x14ac:dyDescent="0.35">
      <c r="A367" t="s">
        <v>12</v>
      </c>
      <c r="B367" t="s">
        <v>86</v>
      </c>
      <c r="C367" t="s">
        <v>71</v>
      </c>
      <c r="D367">
        <v>5.5</v>
      </c>
      <c r="E367">
        <v>129</v>
      </c>
      <c r="F367">
        <v>3.91</v>
      </c>
      <c r="G367">
        <v>220.46</v>
      </c>
      <c r="H367">
        <v>2977.46</v>
      </c>
      <c r="I367">
        <v>974</v>
      </c>
      <c r="K367">
        <v>2015</v>
      </c>
      <c r="L367" t="s">
        <v>87</v>
      </c>
    </row>
    <row r="368" spans="1:12" x14ac:dyDescent="0.35">
      <c r="A368" t="s">
        <v>12</v>
      </c>
      <c r="B368" t="s">
        <v>86</v>
      </c>
      <c r="C368" t="s">
        <v>48</v>
      </c>
      <c r="D368">
        <v>6.3</v>
      </c>
      <c r="E368">
        <v>458</v>
      </c>
      <c r="F368">
        <v>4.7</v>
      </c>
      <c r="G368">
        <v>69.64</v>
      </c>
      <c r="H368">
        <v>12042.04</v>
      </c>
      <c r="I368">
        <v>1599</v>
      </c>
      <c r="K368">
        <v>2015</v>
      </c>
      <c r="L368" t="s">
        <v>87</v>
      </c>
    </row>
    <row r="369" spans="1:12" x14ac:dyDescent="0.35">
      <c r="A369" t="s">
        <v>12</v>
      </c>
      <c r="B369" t="s">
        <v>86</v>
      </c>
      <c r="C369" t="s">
        <v>49</v>
      </c>
      <c r="D369">
        <v>6.29</v>
      </c>
      <c r="E369">
        <v>4736</v>
      </c>
      <c r="F369">
        <v>5.18</v>
      </c>
      <c r="G369">
        <v>8289.9</v>
      </c>
      <c r="H369">
        <v>178564</v>
      </c>
      <c r="I369">
        <v>23586</v>
      </c>
      <c r="K369">
        <v>2015</v>
      </c>
      <c r="L369" t="s">
        <v>87</v>
      </c>
    </row>
    <row r="370" spans="1:12" x14ac:dyDescent="0.35">
      <c r="A370" t="s">
        <v>12</v>
      </c>
      <c r="B370" t="s">
        <v>86</v>
      </c>
      <c r="C370" t="s">
        <v>30</v>
      </c>
      <c r="D370">
        <v>4.07</v>
      </c>
      <c r="E370">
        <v>4170</v>
      </c>
      <c r="F370">
        <v>4.74</v>
      </c>
      <c r="G370">
        <v>4554.46</v>
      </c>
      <c r="H370">
        <v>172764</v>
      </c>
      <c r="I370">
        <v>17646</v>
      </c>
      <c r="K370">
        <v>2015</v>
      </c>
      <c r="L370" t="s">
        <v>87</v>
      </c>
    </row>
    <row r="371" spans="1:12" x14ac:dyDescent="0.35">
      <c r="A371" t="s">
        <v>12</v>
      </c>
      <c r="B371" t="s">
        <v>86</v>
      </c>
      <c r="C371" t="s">
        <v>14</v>
      </c>
      <c r="D371">
        <v>4.47</v>
      </c>
      <c r="E371">
        <v>375</v>
      </c>
      <c r="F371">
        <v>2.92</v>
      </c>
      <c r="G371">
        <v>844</v>
      </c>
      <c r="H371">
        <v>264.07</v>
      </c>
      <c r="I371">
        <v>2395</v>
      </c>
      <c r="K371">
        <v>2015</v>
      </c>
      <c r="L371" t="s">
        <v>87</v>
      </c>
    </row>
    <row r="372" spans="1:12" x14ac:dyDescent="0.35">
      <c r="A372" t="s">
        <v>12</v>
      </c>
      <c r="B372" t="s">
        <v>86</v>
      </c>
      <c r="C372" t="s">
        <v>50</v>
      </c>
      <c r="D372">
        <v>6.19</v>
      </c>
      <c r="E372">
        <v>4447</v>
      </c>
      <c r="F372">
        <v>5.15</v>
      </c>
      <c r="G372">
        <v>4922.7</v>
      </c>
      <c r="H372">
        <v>158480.9</v>
      </c>
      <c r="I372">
        <v>20341</v>
      </c>
      <c r="K372">
        <v>2015</v>
      </c>
      <c r="L372" t="s">
        <v>87</v>
      </c>
    </row>
    <row r="373" spans="1:12" x14ac:dyDescent="0.35">
      <c r="A373" t="s">
        <v>12</v>
      </c>
      <c r="B373" t="s">
        <v>86</v>
      </c>
      <c r="C373" t="s">
        <v>52</v>
      </c>
      <c r="D373">
        <v>6.53</v>
      </c>
      <c r="E373">
        <v>779</v>
      </c>
      <c r="F373">
        <v>4.0999999999999996</v>
      </c>
      <c r="H373">
        <v>18266.810000000001</v>
      </c>
      <c r="I373">
        <v>3778</v>
      </c>
      <c r="K373">
        <v>2015</v>
      </c>
      <c r="L373" t="s">
        <v>87</v>
      </c>
    </row>
    <row r="374" spans="1:12" x14ac:dyDescent="0.35">
      <c r="A374" t="s">
        <v>12</v>
      </c>
      <c r="B374" t="s">
        <v>86</v>
      </c>
      <c r="C374" t="s">
        <v>29</v>
      </c>
      <c r="D374">
        <v>6.28</v>
      </c>
      <c r="E374">
        <v>3820</v>
      </c>
      <c r="F374">
        <v>5.62</v>
      </c>
      <c r="G374">
        <v>10895.61</v>
      </c>
      <c r="H374">
        <v>280317.59999999998</v>
      </c>
      <c r="I374">
        <v>23613</v>
      </c>
      <c r="K374">
        <v>2015</v>
      </c>
      <c r="L374" t="s">
        <v>87</v>
      </c>
    </row>
    <row r="375" spans="1:12" x14ac:dyDescent="0.35">
      <c r="A375" t="s">
        <v>12</v>
      </c>
      <c r="B375" t="s">
        <v>86</v>
      </c>
      <c r="C375" t="s">
        <v>45</v>
      </c>
      <c r="D375">
        <v>8.18</v>
      </c>
      <c r="E375">
        <v>2075</v>
      </c>
      <c r="F375">
        <v>3.26</v>
      </c>
      <c r="G375">
        <v>4115.04</v>
      </c>
      <c r="H375">
        <v>49498.25</v>
      </c>
      <c r="I375">
        <v>9945</v>
      </c>
      <c r="K375">
        <v>2015</v>
      </c>
      <c r="L375" t="s">
        <v>87</v>
      </c>
    </row>
    <row r="376" spans="1:12" x14ac:dyDescent="0.35">
      <c r="A376" t="s">
        <v>12</v>
      </c>
      <c r="B376" t="s">
        <v>86</v>
      </c>
      <c r="C376" t="s">
        <v>20</v>
      </c>
      <c r="D376">
        <v>6.78</v>
      </c>
      <c r="E376">
        <v>59</v>
      </c>
      <c r="F376">
        <v>4.8</v>
      </c>
      <c r="G376">
        <v>3.69</v>
      </c>
      <c r="H376">
        <v>458.55</v>
      </c>
      <c r="I376">
        <v>270</v>
      </c>
      <c r="K376">
        <v>2015</v>
      </c>
      <c r="L376" t="s">
        <v>87</v>
      </c>
    </row>
    <row r="377" spans="1:12" x14ac:dyDescent="0.35">
      <c r="A377" t="s">
        <v>12</v>
      </c>
      <c r="B377" t="s">
        <v>86</v>
      </c>
      <c r="C377" t="s">
        <v>22</v>
      </c>
      <c r="D377">
        <v>4.83</v>
      </c>
      <c r="E377">
        <v>18514</v>
      </c>
      <c r="F377">
        <v>4.76</v>
      </c>
      <c r="G377">
        <v>24561</v>
      </c>
      <c r="H377">
        <v>639210</v>
      </c>
      <c r="I377">
        <v>105679</v>
      </c>
      <c r="K377">
        <v>2015</v>
      </c>
      <c r="L377" t="s">
        <v>87</v>
      </c>
    </row>
    <row r="378" spans="1:12" x14ac:dyDescent="0.35">
      <c r="A378" t="s">
        <v>12</v>
      </c>
      <c r="B378" t="s">
        <v>86</v>
      </c>
      <c r="C378" t="s">
        <v>26</v>
      </c>
      <c r="D378">
        <v>5.49</v>
      </c>
      <c r="E378">
        <v>569</v>
      </c>
      <c r="F378">
        <v>4.24</v>
      </c>
      <c r="G378">
        <v>356.18</v>
      </c>
      <c r="H378">
        <v>9798.65</v>
      </c>
      <c r="I378">
        <v>2003</v>
      </c>
      <c r="K378">
        <v>2015</v>
      </c>
      <c r="L378" t="s">
        <v>87</v>
      </c>
    </row>
    <row r="379" spans="1:12" x14ac:dyDescent="0.35">
      <c r="A379" t="s">
        <v>12</v>
      </c>
      <c r="B379" t="s">
        <v>86</v>
      </c>
      <c r="C379" t="s">
        <v>64</v>
      </c>
      <c r="D379">
        <v>4</v>
      </c>
      <c r="E379">
        <v>180</v>
      </c>
      <c r="F379">
        <v>6</v>
      </c>
      <c r="G379">
        <v>263.45999999999998</v>
      </c>
      <c r="H379">
        <v>83.1</v>
      </c>
      <c r="I379">
        <v>986</v>
      </c>
      <c r="K379">
        <v>2015</v>
      </c>
      <c r="L379" t="s">
        <v>87</v>
      </c>
    </row>
    <row r="380" spans="1:12" x14ac:dyDescent="0.35">
      <c r="A380" t="s">
        <v>12</v>
      </c>
      <c r="B380" t="s">
        <v>86</v>
      </c>
      <c r="C380" t="s">
        <v>23</v>
      </c>
      <c r="D380">
        <v>6.39</v>
      </c>
      <c r="E380">
        <v>5636</v>
      </c>
      <c r="F380">
        <v>4.16</v>
      </c>
      <c r="G380">
        <v>10438</v>
      </c>
      <c r="H380">
        <v>187593</v>
      </c>
      <c r="I380">
        <v>42240</v>
      </c>
      <c r="K380">
        <v>2015</v>
      </c>
      <c r="L380" t="s">
        <v>87</v>
      </c>
    </row>
    <row r="381" spans="1:12" x14ac:dyDescent="0.35">
      <c r="A381" t="s">
        <v>12</v>
      </c>
      <c r="B381" t="s">
        <v>86</v>
      </c>
      <c r="C381" t="s">
        <v>69</v>
      </c>
      <c r="D381">
        <v>4.9400000000000004</v>
      </c>
      <c r="E381">
        <v>8172</v>
      </c>
      <c r="F381">
        <v>4.83</v>
      </c>
      <c r="G381">
        <v>10103.629999999999</v>
      </c>
      <c r="H381">
        <v>343937.34</v>
      </c>
      <c r="I381">
        <v>37129</v>
      </c>
      <c r="K381">
        <v>2015</v>
      </c>
      <c r="L381" t="s">
        <v>87</v>
      </c>
    </row>
    <row r="382" spans="1:12" x14ac:dyDescent="0.35">
      <c r="A382" t="s">
        <v>12</v>
      </c>
      <c r="B382" t="s">
        <v>86</v>
      </c>
      <c r="C382" t="s">
        <v>34</v>
      </c>
      <c r="D382">
        <v>5.76</v>
      </c>
      <c r="E382">
        <v>2640</v>
      </c>
      <c r="F382">
        <v>5.38</v>
      </c>
      <c r="G382">
        <v>6406.78</v>
      </c>
      <c r="H382">
        <v>155207.25</v>
      </c>
      <c r="I382">
        <v>15266</v>
      </c>
      <c r="K382">
        <v>2015</v>
      </c>
      <c r="L382" t="s">
        <v>87</v>
      </c>
    </row>
    <row r="383" spans="1:12" x14ac:dyDescent="0.35">
      <c r="A383" t="s">
        <v>12</v>
      </c>
      <c r="B383" t="s">
        <v>86</v>
      </c>
      <c r="C383" t="s">
        <v>61</v>
      </c>
      <c r="D383">
        <v>4.2</v>
      </c>
      <c r="E383">
        <v>353</v>
      </c>
      <c r="F383">
        <v>2.78</v>
      </c>
      <c r="G383">
        <v>574.91999999999996</v>
      </c>
      <c r="H383">
        <v>4781.22</v>
      </c>
      <c r="I383">
        <v>2186</v>
      </c>
      <c r="K383">
        <v>2015</v>
      </c>
      <c r="L383" t="s">
        <v>87</v>
      </c>
    </row>
    <row r="384" spans="1:12" x14ac:dyDescent="0.35">
      <c r="A384" t="s">
        <v>12</v>
      </c>
      <c r="B384" t="s">
        <v>86</v>
      </c>
      <c r="C384" t="s">
        <v>27</v>
      </c>
      <c r="D384">
        <v>10</v>
      </c>
      <c r="E384">
        <v>610</v>
      </c>
      <c r="F384">
        <v>4.34</v>
      </c>
      <c r="G384">
        <v>46.44</v>
      </c>
      <c r="H384">
        <v>4260.05</v>
      </c>
      <c r="I384">
        <v>1989</v>
      </c>
      <c r="K384">
        <v>2015</v>
      </c>
      <c r="L384" t="s">
        <v>87</v>
      </c>
    </row>
    <row r="385" spans="1:12" x14ac:dyDescent="0.35">
      <c r="A385" t="s">
        <v>12</v>
      </c>
      <c r="B385" t="s">
        <v>86</v>
      </c>
      <c r="C385" t="s">
        <v>28</v>
      </c>
      <c r="D385">
        <v>9</v>
      </c>
      <c r="E385">
        <v>2645</v>
      </c>
      <c r="F385">
        <v>3.67</v>
      </c>
      <c r="H385">
        <v>47997.93</v>
      </c>
      <c r="I385">
        <v>9134</v>
      </c>
      <c r="K385">
        <v>2015</v>
      </c>
      <c r="L385" t="s">
        <v>87</v>
      </c>
    </row>
    <row r="386" spans="1:12" x14ac:dyDescent="0.35">
      <c r="A386" t="s">
        <v>12</v>
      </c>
      <c r="B386" t="s">
        <v>86</v>
      </c>
      <c r="C386" t="s">
        <v>33</v>
      </c>
      <c r="D386">
        <v>7.83</v>
      </c>
      <c r="E386">
        <v>494</v>
      </c>
      <c r="F386">
        <v>3.71</v>
      </c>
      <c r="G386">
        <v>539.19000000000005</v>
      </c>
      <c r="H386">
        <v>11846</v>
      </c>
      <c r="I386">
        <v>1967</v>
      </c>
      <c r="K386">
        <v>2015</v>
      </c>
      <c r="L386" t="s">
        <v>87</v>
      </c>
    </row>
    <row r="387" spans="1:12" x14ac:dyDescent="0.35">
      <c r="A387" t="s">
        <v>12</v>
      </c>
      <c r="B387" t="s">
        <v>86</v>
      </c>
      <c r="C387" t="s">
        <v>79</v>
      </c>
      <c r="D387">
        <v>3.75</v>
      </c>
      <c r="E387">
        <v>170</v>
      </c>
      <c r="F387">
        <v>2.85</v>
      </c>
      <c r="G387">
        <v>168.3</v>
      </c>
      <c r="H387">
        <v>15.08</v>
      </c>
      <c r="I387">
        <v>570</v>
      </c>
      <c r="K387">
        <v>2015</v>
      </c>
      <c r="L387" t="s">
        <v>87</v>
      </c>
    </row>
    <row r="388" spans="1:12" x14ac:dyDescent="0.35">
      <c r="A388" t="s">
        <v>12</v>
      </c>
      <c r="B388" t="s">
        <v>86</v>
      </c>
      <c r="C388" t="s">
        <v>31</v>
      </c>
      <c r="D388">
        <v>5.29</v>
      </c>
      <c r="E388">
        <v>7852</v>
      </c>
      <c r="F388">
        <v>5.48</v>
      </c>
      <c r="G388">
        <v>7613.34</v>
      </c>
      <c r="H388">
        <v>326305.62</v>
      </c>
      <c r="I388">
        <v>39707</v>
      </c>
      <c r="K388">
        <v>2015</v>
      </c>
      <c r="L388" t="s">
        <v>87</v>
      </c>
    </row>
    <row r="389" spans="1:12" x14ac:dyDescent="0.35">
      <c r="A389" t="s">
        <v>12</v>
      </c>
      <c r="B389" t="s">
        <v>86</v>
      </c>
      <c r="C389" t="s">
        <v>32</v>
      </c>
      <c r="D389">
        <v>7.1</v>
      </c>
      <c r="E389">
        <v>4564</v>
      </c>
      <c r="F389">
        <v>0</v>
      </c>
      <c r="G389">
        <v>12944.24</v>
      </c>
      <c r="H389">
        <v>105793.87</v>
      </c>
      <c r="I389">
        <v>30527</v>
      </c>
      <c r="K389">
        <v>2015</v>
      </c>
      <c r="L389" t="s">
        <v>87</v>
      </c>
    </row>
    <row r="390" spans="1:12" x14ac:dyDescent="0.35">
      <c r="A390" t="s">
        <v>12</v>
      </c>
      <c r="B390" t="s">
        <v>86</v>
      </c>
      <c r="C390" t="s">
        <v>35</v>
      </c>
      <c r="D390">
        <v>3.61</v>
      </c>
      <c r="E390">
        <v>813</v>
      </c>
      <c r="F390">
        <v>2.11</v>
      </c>
      <c r="G390">
        <v>869.3</v>
      </c>
      <c r="H390">
        <v>7652.94</v>
      </c>
      <c r="I390">
        <v>4998</v>
      </c>
      <c r="K390">
        <v>2015</v>
      </c>
      <c r="L390" t="s">
        <v>87</v>
      </c>
    </row>
    <row r="391" spans="1:12" x14ac:dyDescent="0.35">
      <c r="A391" t="s">
        <v>12</v>
      </c>
      <c r="B391" t="s">
        <v>86</v>
      </c>
      <c r="C391" t="s">
        <v>36</v>
      </c>
      <c r="D391">
        <v>12.85</v>
      </c>
      <c r="E391">
        <v>223</v>
      </c>
      <c r="F391">
        <v>4.2699999999999996</v>
      </c>
      <c r="G391">
        <v>26.55</v>
      </c>
      <c r="H391">
        <v>3146.03</v>
      </c>
      <c r="I391">
        <v>625</v>
      </c>
      <c r="K391">
        <v>2015</v>
      </c>
      <c r="L391" t="s">
        <v>87</v>
      </c>
    </row>
    <row r="392" spans="1:12" x14ac:dyDescent="0.35">
      <c r="A392" t="s">
        <v>12</v>
      </c>
      <c r="B392" t="s">
        <v>86</v>
      </c>
      <c r="C392" t="s">
        <v>73</v>
      </c>
      <c r="D392">
        <v>5.83</v>
      </c>
      <c r="E392">
        <v>232</v>
      </c>
      <c r="F392">
        <v>2.5</v>
      </c>
      <c r="G392">
        <v>30.64</v>
      </c>
      <c r="H392">
        <v>74.09</v>
      </c>
      <c r="I392">
        <v>575</v>
      </c>
      <c r="K392">
        <v>2015</v>
      </c>
      <c r="L392" t="s">
        <v>87</v>
      </c>
    </row>
    <row r="393" spans="1:12" x14ac:dyDescent="0.35">
      <c r="A393" t="s">
        <v>12</v>
      </c>
      <c r="B393" t="s">
        <v>86</v>
      </c>
      <c r="C393" t="s">
        <v>77</v>
      </c>
      <c r="E393">
        <v>1370</v>
      </c>
      <c r="F393">
        <v>0</v>
      </c>
      <c r="G393">
        <v>3882.62</v>
      </c>
      <c r="K393">
        <v>2015</v>
      </c>
      <c r="L393" t="s">
        <v>87</v>
      </c>
    </row>
    <row r="394" spans="1:12" x14ac:dyDescent="0.35">
      <c r="A394" t="s">
        <v>12</v>
      </c>
      <c r="B394" t="s">
        <v>86</v>
      </c>
      <c r="C394" t="s">
        <v>37</v>
      </c>
      <c r="D394">
        <v>6.89</v>
      </c>
      <c r="E394">
        <v>6439</v>
      </c>
      <c r="F394">
        <v>3.76</v>
      </c>
      <c r="G394">
        <v>18570.84</v>
      </c>
      <c r="H394">
        <v>192031.51</v>
      </c>
      <c r="I394">
        <v>35554</v>
      </c>
      <c r="K394">
        <v>2015</v>
      </c>
      <c r="L394" t="s">
        <v>87</v>
      </c>
    </row>
    <row r="395" spans="1:12" x14ac:dyDescent="0.35">
      <c r="A395" t="s">
        <v>12</v>
      </c>
      <c r="B395" t="s">
        <v>86</v>
      </c>
      <c r="C395" t="s">
        <v>78</v>
      </c>
      <c r="D395">
        <v>6.5</v>
      </c>
      <c r="E395">
        <v>17</v>
      </c>
      <c r="F395">
        <v>2.85</v>
      </c>
      <c r="I395">
        <v>92</v>
      </c>
      <c r="K395">
        <v>2015</v>
      </c>
      <c r="L395" t="s">
        <v>87</v>
      </c>
    </row>
    <row r="396" spans="1:12" x14ac:dyDescent="0.35">
      <c r="A396" t="s">
        <v>12</v>
      </c>
      <c r="B396" t="s">
        <v>86</v>
      </c>
      <c r="C396" t="s">
        <v>75</v>
      </c>
      <c r="D396">
        <v>6</v>
      </c>
      <c r="E396">
        <v>120</v>
      </c>
      <c r="F396">
        <v>4.0599999999999996</v>
      </c>
      <c r="G396">
        <v>108.06</v>
      </c>
      <c r="H396">
        <v>74.42</v>
      </c>
      <c r="I396">
        <v>38</v>
      </c>
      <c r="K396">
        <v>2015</v>
      </c>
      <c r="L396" t="s">
        <v>87</v>
      </c>
    </row>
    <row r="397" spans="1:12" x14ac:dyDescent="0.35">
      <c r="A397" t="s">
        <v>12</v>
      </c>
      <c r="B397" t="s">
        <v>86</v>
      </c>
      <c r="C397" t="s">
        <v>40</v>
      </c>
      <c r="D397">
        <v>4.4000000000000004</v>
      </c>
      <c r="E397">
        <v>1090</v>
      </c>
      <c r="F397">
        <v>3.79</v>
      </c>
      <c r="G397">
        <v>207.95</v>
      </c>
      <c r="H397">
        <v>7437.69</v>
      </c>
      <c r="I397">
        <v>3987</v>
      </c>
      <c r="K397">
        <v>2015</v>
      </c>
      <c r="L397" t="s">
        <v>87</v>
      </c>
    </row>
    <row r="398" spans="1:12" x14ac:dyDescent="0.35">
      <c r="A398" t="s">
        <v>12</v>
      </c>
      <c r="B398" t="s">
        <v>86</v>
      </c>
      <c r="C398" t="s">
        <v>43</v>
      </c>
      <c r="D398">
        <v>7.73</v>
      </c>
      <c r="E398">
        <v>12012</v>
      </c>
      <c r="F398">
        <v>5.19</v>
      </c>
      <c r="G398">
        <v>22977.48</v>
      </c>
      <c r="H398">
        <v>516978.85</v>
      </c>
      <c r="I398">
        <v>57902</v>
      </c>
      <c r="K398">
        <v>2015</v>
      </c>
      <c r="L398" t="s">
        <v>87</v>
      </c>
    </row>
    <row r="399" spans="1:12" x14ac:dyDescent="0.35">
      <c r="A399" t="s">
        <v>12</v>
      </c>
      <c r="B399" t="s">
        <v>86</v>
      </c>
      <c r="C399" t="s">
        <v>38</v>
      </c>
      <c r="D399">
        <v>6.78</v>
      </c>
      <c r="E399">
        <v>2309</v>
      </c>
      <c r="F399">
        <v>5.55</v>
      </c>
      <c r="G399">
        <v>5533.12</v>
      </c>
      <c r="H399">
        <v>156566.93</v>
      </c>
      <c r="I399">
        <v>13760</v>
      </c>
      <c r="K399">
        <v>2015</v>
      </c>
      <c r="L399" t="s">
        <v>87</v>
      </c>
    </row>
    <row r="400" spans="1:12" x14ac:dyDescent="0.35">
      <c r="A400" t="s">
        <v>12</v>
      </c>
      <c r="B400" t="s">
        <v>86</v>
      </c>
      <c r="C400" t="s">
        <v>74</v>
      </c>
      <c r="D400">
        <v>6</v>
      </c>
      <c r="E400">
        <v>270</v>
      </c>
      <c r="F400">
        <v>0</v>
      </c>
      <c r="G400">
        <v>41.6</v>
      </c>
      <c r="H400">
        <v>42.52</v>
      </c>
      <c r="I400">
        <v>277</v>
      </c>
      <c r="K400">
        <v>2015</v>
      </c>
      <c r="L400" t="s">
        <v>87</v>
      </c>
    </row>
    <row r="401" spans="1:12" x14ac:dyDescent="0.35">
      <c r="A401" t="s">
        <v>12</v>
      </c>
      <c r="B401" t="s">
        <v>88</v>
      </c>
      <c r="C401" t="s">
        <v>30</v>
      </c>
      <c r="D401">
        <v>4.37</v>
      </c>
      <c r="E401">
        <v>4145</v>
      </c>
      <c r="F401">
        <v>4.75</v>
      </c>
      <c r="G401">
        <v>4459</v>
      </c>
      <c r="H401">
        <v>158216</v>
      </c>
      <c r="I401">
        <v>16968</v>
      </c>
      <c r="K401">
        <v>2016</v>
      </c>
      <c r="L401" t="s">
        <v>89</v>
      </c>
    </row>
    <row r="402" spans="1:12" x14ac:dyDescent="0.35">
      <c r="A402" t="s">
        <v>12</v>
      </c>
      <c r="B402" t="s">
        <v>88</v>
      </c>
      <c r="C402" t="s">
        <v>90</v>
      </c>
      <c r="D402">
        <v>8</v>
      </c>
      <c r="E402">
        <v>230</v>
      </c>
      <c r="F402">
        <v>5.64</v>
      </c>
      <c r="G402">
        <v>90</v>
      </c>
      <c r="H402">
        <v>99.91</v>
      </c>
      <c r="I402">
        <v>540</v>
      </c>
      <c r="K402">
        <v>2016</v>
      </c>
      <c r="L402" t="s">
        <v>89</v>
      </c>
    </row>
    <row r="403" spans="1:12" x14ac:dyDescent="0.35">
      <c r="A403" t="s">
        <v>12</v>
      </c>
      <c r="B403" t="s">
        <v>88</v>
      </c>
      <c r="C403" t="s">
        <v>91</v>
      </c>
      <c r="D403">
        <v>5.1100000000000003</v>
      </c>
      <c r="E403">
        <v>408</v>
      </c>
      <c r="F403">
        <v>2.97</v>
      </c>
      <c r="G403">
        <v>2</v>
      </c>
      <c r="H403">
        <v>193.9</v>
      </c>
      <c r="I403">
        <v>1119</v>
      </c>
      <c r="K403">
        <v>2016</v>
      </c>
      <c r="L403" t="s">
        <v>89</v>
      </c>
    </row>
    <row r="404" spans="1:12" x14ac:dyDescent="0.35">
      <c r="A404" t="s">
        <v>12</v>
      </c>
      <c r="B404" t="s">
        <v>88</v>
      </c>
      <c r="C404" t="s">
        <v>75</v>
      </c>
      <c r="D404">
        <v>7</v>
      </c>
      <c r="E404">
        <v>126</v>
      </c>
      <c r="F404">
        <v>4.5</v>
      </c>
      <c r="G404">
        <v>103</v>
      </c>
      <c r="H404">
        <v>75</v>
      </c>
      <c r="I404">
        <v>453</v>
      </c>
      <c r="K404">
        <v>2016</v>
      </c>
      <c r="L404" t="s">
        <v>89</v>
      </c>
    </row>
    <row r="405" spans="1:12" x14ac:dyDescent="0.35">
      <c r="A405" t="s">
        <v>12</v>
      </c>
      <c r="B405" t="s">
        <v>88</v>
      </c>
      <c r="C405" t="s">
        <v>74</v>
      </c>
      <c r="D405">
        <v>7</v>
      </c>
      <c r="E405">
        <v>270</v>
      </c>
      <c r="G405">
        <v>85</v>
      </c>
      <c r="H405">
        <v>69.08</v>
      </c>
      <c r="I405">
        <v>241</v>
      </c>
      <c r="K405">
        <v>2016</v>
      </c>
      <c r="L405" t="s">
        <v>89</v>
      </c>
    </row>
    <row r="406" spans="1:12" x14ac:dyDescent="0.35">
      <c r="A406" t="s">
        <v>12</v>
      </c>
      <c r="B406" t="s">
        <v>88</v>
      </c>
      <c r="C406" t="s">
        <v>43</v>
      </c>
      <c r="D406">
        <v>5.59</v>
      </c>
      <c r="E406">
        <v>12072</v>
      </c>
      <c r="F406">
        <v>5.2</v>
      </c>
      <c r="G406">
        <v>24017</v>
      </c>
      <c r="H406">
        <v>530698.23999999999</v>
      </c>
      <c r="I406">
        <v>56592</v>
      </c>
      <c r="K406">
        <v>2016</v>
      </c>
      <c r="L406" t="s">
        <v>89</v>
      </c>
    </row>
    <row r="407" spans="1:12" x14ac:dyDescent="0.35">
      <c r="A407" t="s">
        <v>12</v>
      </c>
      <c r="B407" t="s">
        <v>88</v>
      </c>
      <c r="C407" t="s">
        <v>40</v>
      </c>
      <c r="D407">
        <v>7</v>
      </c>
      <c r="E407">
        <v>1067</v>
      </c>
      <c r="F407">
        <v>3.71</v>
      </c>
      <c r="G407">
        <v>174</v>
      </c>
      <c r="H407">
        <v>6564.13</v>
      </c>
      <c r="I407">
        <v>3579</v>
      </c>
      <c r="K407">
        <v>2016</v>
      </c>
      <c r="L407" t="s">
        <v>89</v>
      </c>
    </row>
    <row r="408" spans="1:12" x14ac:dyDescent="0.35">
      <c r="A408" t="s">
        <v>12</v>
      </c>
      <c r="B408" t="s">
        <v>88</v>
      </c>
      <c r="C408" t="s">
        <v>37</v>
      </c>
      <c r="D408">
        <v>7.64</v>
      </c>
      <c r="E408">
        <v>6270</v>
      </c>
      <c r="F408">
        <v>3.74</v>
      </c>
      <c r="G408">
        <v>17611</v>
      </c>
      <c r="H408">
        <v>195775.79</v>
      </c>
      <c r="I408">
        <v>34306</v>
      </c>
      <c r="K408">
        <v>2016</v>
      </c>
      <c r="L408" t="s">
        <v>89</v>
      </c>
    </row>
    <row r="409" spans="1:12" x14ac:dyDescent="0.35">
      <c r="A409" t="s">
        <v>12</v>
      </c>
      <c r="B409" t="s">
        <v>88</v>
      </c>
      <c r="C409" t="s">
        <v>36</v>
      </c>
      <c r="D409">
        <v>13.85</v>
      </c>
      <c r="E409">
        <v>483</v>
      </c>
      <c r="F409">
        <v>4.66</v>
      </c>
      <c r="G409">
        <v>111</v>
      </c>
      <c r="H409">
        <v>6463.32</v>
      </c>
      <c r="I409">
        <v>1244</v>
      </c>
      <c r="K409">
        <v>2016</v>
      </c>
      <c r="L409" t="s">
        <v>89</v>
      </c>
    </row>
    <row r="410" spans="1:12" x14ac:dyDescent="0.35">
      <c r="A410" t="s">
        <v>12</v>
      </c>
      <c r="B410" t="s">
        <v>88</v>
      </c>
      <c r="C410" t="s">
        <v>32</v>
      </c>
      <c r="D410">
        <v>7.5</v>
      </c>
      <c r="E410">
        <v>4167</v>
      </c>
      <c r="G410">
        <v>11517</v>
      </c>
      <c r="H410">
        <v>116078.85</v>
      </c>
      <c r="I410">
        <v>27879</v>
      </c>
      <c r="K410">
        <v>2016</v>
      </c>
      <c r="L410" t="s">
        <v>89</v>
      </c>
    </row>
    <row r="411" spans="1:12" x14ac:dyDescent="0.35">
      <c r="A411" t="s">
        <v>12</v>
      </c>
      <c r="B411" t="s">
        <v>88</v>
      </c>
      <c r="C411" t="s">
        <v>31</v>
      </c>
      <c r="D411">
        <v>4.74</v>
      </c>
      <c r="E411">
        <v>7863</v>
      </c>
      <c r="F411">
        <v>5.42</v>
      </c>
      <c r="G411">
        <v>7887</v>
      </c>
      <c r="H411">
        <v>350277.81</v>
      </c>
      <c r="I411">
        <v>37688</v>
      </c>
      <c r="K411">
        <v>2016</v>
      </c>
      <c r="L411" t="s">
        <v>89</v>
      </c>
    </row>
    <row r="412" spans="1:12" x14ac:dyDescent="0.35">
      <c r="A412" t="s">
        <v>12</v>
      </c>
      <c r="B412" t="s">
        <v>88</v>
      </c>
      <c r="C412" t="s">
        <v>28</v>
      </c>
      <c r="D412">
        <v>4.96</v>
      </c>
      <c r="E412">
        <v>3146</v>
      </c>
      <c r="F412">
        <v>3.7</v>
      </c>
      <c r="G412">
        <v>0</v>
      </c>
      <c r="H412">
        <v>64551.08</v>
      </c>
      <c r="I412">
        <v>9236</v>
      </c>
      <c r="K412">
        <v>2016</v>
      </c>
      <c r="L412" t="s">
        <v>89</v>
      </c>
    </row>
    <row r="413" spans="1:12" x14ac:dyDescent="0.35">
      <c r="A413" t="s">
        <v>12</v>
      </c>
      <c r="B413" t="s">
        <v>88</v>
      </c>
      <c r="C413" t="s">
        <v>27</v>
      </c>
      <c r="D413">
        <v>10</v>
      </c>
      <c r="E413">
        <v>529</v>
      </c>
      <c r="F413">
        <v>4.33</v>
      </c>
      <c r="G413">
        <v>42</v>
      </c>
      <c r="H413">
        <v>4068.34</v>
      </c>
      <c r="I413">
        <v>2335</v>
      </c>
      <c r="K413">
        <v>2016</v>
      </c>
      <c r="L413" t="s">
        <v>89</v>
      </c>
    </row>
    <row r="414" spans="1:12" x14ac:dyDescent="0.35">
      <c r="A414" t="s">
        <v>12</v>
      </c>
      <c r="B414" t="s">
        <v>88</v>
      </c>
      <c r="C414" t="s">
        <v>24</v>
      </c>
      <c r="D414">
        <v>5.23</v>
      </c>
      <c r="E414">
        <v>8212</v>
      </c>
      <c r="F414">
        <v>4.84</v>
      </c>
      <c r="G414">
        <v>9959</v>
      </c>
      <c r="H414">
        <v>338547.87</v>
      </c>
      <c r="I414">
        <v>37675</v>
      </c>
      <c r="K414">
        <v>2016</v>
      </c>
      <c r="L414" t="s">
        <v>89</v>
      </c>
    </row>
    <row r="415" spans="1:12" x14ac:dyDescent="0.35">
      <c r="A415" t="s">
        <v>12</v>
      </c>
      <c r="B415" t="s">
        <v>88</v>
      </c>
      <c r="C415" t="s">
        <v>23</v>
      </c>
      <c r="D415">
        <v>6.2</v>
      </c>
      <c r="E415">
        <v>5869</v>
      </c>
      <c r="F415">
        <v>4.05</v>
      </c>
      <c r="G415">
        <v>10414</v>
      </c>
      <c r="H415">
        <v>294270</v>
      </c>
      <c r="I415">
        <v>43086</v>
      </c>
      <c r="K415">
        <v>2016</v>
      </c>
      <c r="L415" t="s">
        <v>89</v>
      </c>
    </row>
    <row r="416" spans="1:12" x14ac:dyDescent="0.35">
      <c r="A416" t="s">
        <v>12</v>
      </c>
      <c r="B416" t="s">
        <v>88</v>
      </c>
      <c r="C416" t="s">
        <v>22</v>
      </c>
      <c r="D416">
        <v>5.5</v>
      </c>
      <c r="E416">
        <v>18710</v>
      </c>
      <c r="F416">
        <v>4.7699999999999996</v>
      </c>
      <c r="G416">
        <v>24438</v>
      </c>
      <c r="H416">
        <v>615701</v>
      </c>
      <c r="I416">
        <v>103043</v>
      </c>
      <c r="K416">
        <v>2016</v>
      </c>
      <c r="L416" t="s">
        <v>89</v>
      </c>
    </row>
    <row r="417" spans="1:12" x14ac:dyDescent="0.35">
      <c r="A417" t="s">
        <v>12</v>
      </c>
      <c r="B417" t="s">
        <v>88</v>
      </c>
      <c r="C417" t="s">
        <v>20</v>
      </c>
      <c r="D417">
        <v>7.21</v>
      </c>
      <c r="E417">
        <v>52</v>
      </c>
      <c r="F417">
        <v>5.4</v>
      </c>
      <c r="G417">
        <v>4</v>
      </c>
      <c r="H417">
        <v>457.27</v>
      </c>
      <c r="I417">
        <v>260</v>
      </c>
      <c r="K417">
        <v>2016</v>
      </c>
      <c r="L417" t="s">
        <v>89</v>
      </c>
    </row>
    <row r="418" spans="1:12" x14ac:dyDescent="0.35">
      <c r="A418" t="s">
        <v>12</v>
      </c>
      <c r="B418" t="s">
        <v>88</v>
      </c>
      <c r="C418" t="s">
        <v>52</v>
      </c>
      <c r="D418">
        <v>6.29</v>
      </c>
      <c r="E418">
        <v>805</v>
      </c>
      <c r="F418">
        <v>4.25</v>
      </c>
      <c r="G418">
        <v>0</v>
      </c>
      <c r="H418">
        <v>18655.12</v>
      </c>
      <c r="I418">
        <v>3709</v>
      </c>
      <c r="K418">
        <v>2016</v>
      </c>
      <c r="L418" t="s">
        <v>89</v>
      </c>
    </row>
    <row r="419" spans="1:12" x14ac:dyDescent="0.35">
      <c r="A419" t="s">
        <v>12</v>
      </c>
      <c r="B419" t="s">
        <v>88</v>
      </c>
      <c r="C419" t="s">
        <v>50</v>
      </c>
      <c r="D419">
        <v>5.64</v>
      </c>
      <c r="E419">
        <v>4385</v>
      </c>
      <c r="F419">
        <v>5.17</v>
      </c>
      <c r="G419">
        <v>4928</v>
      </c>
      <c r="H419">
        <v>158522.46</v>
      </c>
      <c r="I419">
        <v>20577</v>
      </c>
      <c r="K419">
        <v>2016</v>
      </c>
      <c r="L419" t="s">
        <v>89</v>
      </c>
    </row>
    <row r="420" spans="1:12" x14ac:dyDescent="0.35">
      <c r="A420" t="s">
        <v>12</v>
      </c>
      <c r="B420" t="s">
        <v>88</v>
      </c>
      <c r="C420" t="s">
        <v>49</v>
      </c>
      <c r="D420">
        <v>6.6</v>
      </c>
      <c r="E420">
        <v>4802</v>
      </c>
      <c r="F420">
        <v>5.18</v>
      </c>
      <c r="G420">
        <v>8256</v>
      </c>
      <c r="H420">
        <v>174741</v>
      </c>
      <c r="I420">
        <v>24321</v>
      </c>
      <c r="K420">
        <v>2016</v>
      </c>
      <c r="L420" t="s">
        <v>89</v>
      </c>
    </row>
    <row r="421" spans="1:12" x14ac:dyDescent="0.35">
      <c r="A421" t="s">
        <v>12</v>
      </c>
      <c r="B421" t="s">
        <v>88</v>
      </c>
      <c r="C421" t="s">
        <v>48</v>
      </c>
      <c r="D421">
        <v>9</v>
      </c>
      <c r="E421">
        <v>455</v>
      </c>
      <c r="F421">
        <v>4.72</v>
      </c>
      <c r="G421">
        <v>71</v>
      </c>
      <c r="H421">
        <v>17663.88</v>
      </c>
      <c r="I421">
        <v>1651</v>
      </c>
      <c r="K421">
        <v>2016</v>
      </c>
      <c r="L421" t="s">
        <v>89</v>
      </c>
    </row>
    <row r="422" spans="1:12" x14ac:dyDescent="0.35">
      <c r="A422" t="s">
        <v>12</v>
      </c>
      <c r="B422" t="s">
        <v>88</v>
      </c>
      <c r="C422" t="s">
        <v>57</v>
      </c>
      <c r="D422">
        <v>8</v>
      </c>
      <c r="E422">
        <v>1067</v>
      </c>
      <c r="F422">
        <v>4.6500000000000004</v>
      </c>
      <c r="G422">
        <v>0</v>
      </c>
      <c r="H422">
        <v>1300</v>
      </c>
      <c r="I422">
        <v>3658</v>
      </c>
      <c r="K422">
        <v>2016</v>
      </c>
      <c r="L422" t="s">
        <v>89</v>
      </c>
    </row>
    <row r="423" spans="1:12" x14ac:dyDescent="0.35">
      <c r="A423" t="s">
        <v>12</v>
      </c>
      <c r="B423" t="s">
        <v>88</v>
      </c>
      <c r="C423" t="s">
        <v>51</v>
      </c>
      <c r="D423">
        <v>5.26</v>
      </c>
      <c r="E423">
        <v>4635</v>
      </c>
      <c r="F423">
        <v>5.0599999999999996</v>
      </c>
      <c r="G423">
        <v>3185</v>
      </c>
      <c r="H423">
        <v>284702.25</v>
      </c>
      <c r="I423">
        <v>17844</v>
      </c>
      <c r="K423">
        <v>2016</v>
      </c>
      <c r="L423" t="s">
        <v>89</v>
      </c>
    </row>
    <row r="424" spans="1:12" x14ac:dyDescent="0.35">
      <c r="A424" t="s">
        <v>12</v>
      </c>
      <c r="B424" t="s">
        <v>88</v>
      </c>
      <c r="C424" t="s">
        <v>17</v>
      </c>
      <c r="D424">
        <v>5.43</v>
      </c>
      <c r="E424">
        <v>721</v>
      </c>
      <c r="F424">
        <v>4.29</v>
      </c>
      <c r="G424">
        <v>148</v>
      </c>
      <c r="H424">
        <v>18234.53</v>
      </c>
      <c r="I424">
        <v>2042</v>
      </c>
      <c r="K424">
        <v>2016</v>
      </c>
      <c r="L424" t="s">
        <v>89</v>
      </c>
    </row>
    <row r="425" spans="1:12" x14ac:dyDescent="0.35">
      <c r="A425" t="s">
        <v>12</v>
      </c>
      <c r="B425" t="s">
        <v>88</v>
      </c>
      <c r="C425" t="s">
        <v>65</v>
      </c>
      <c r="D425">
        <v>7.44</v>
      </c>
      <c r="E425">
        <v>10415</v>
      </c>
      <c r="G425">
        <v>31894</v>
      </c>
      <c r="H425">
        <v>432217.97</v>
      </c>
      <c r="I425">
        <v>54117</v>
      </c>
      <c r="K425">
        <v>2016</v>
      </c>
      <c r="L425" t="s">
        <v>89</v>
      </c>
    </row>
    <row r="426" spans="1:12" x14ac:dyDescent="0.35">
      <c r="A426" t="s">
        <v>12</v>
      </c>
      <c r="B426" t="s">
        <v>88</v>
      </c>
      <c r="C426" t="s">
        <v>46</v>
      </c>
      <c r="E426">
        <v>16</v>
      </c>
      <c r="G426">
        <v>0</v>
      </c>
      <c r="H426">
        <v>0</v>
      </c>
      <c r="K426">
        <v>2016</v>
      </c>
      <c r="L426" t="s">
        <v>89</v>
      </c>
    </row>
    <row r="427" spans="1:12" x14ac:dyDescent="0.35">
      <c r="A427" t="s">
        <v>12</v>
      </c>
      <c r="B427" t="s">
        <v>88</v>
      </c>
      <c r="C427" t="s">
        <v>47</v>
      </c>
      <c r="D427">
        <v>4.53</v>
      </c>
      <c r="E427">
        <v>10780</v>
      </c>
      <c r="F427">
        <v>5.24</v>
      </c>
      <c r="G427">
        <v>5646</v>
      </c>
      <c r="H427">
        <v>445728</v>
      </c>
      <c r="I427">
        <v>23487</v>
      </c>
      <c r="K427">
        <v>2016</v>
      </c>
      <c r="L427" t="s">
        <v>89</v>
      </c>
    </row>
    <row r="428" spans="1:12" x14ac:dyDescent="0.35">
      <c r="A428" t="s">
        <v>12</v>
      </c>
      <c r="B428" t="s">
        <v>88</v>
      </c>
      <c r="C428" t="s">
        <v>55</v>
      </c>
      <c r="D428">
        <v>6.5</v>
      </c>
      <c r="E428">
        <v>1242</v>
      </c>
      <c r="F428">
        <v>4.76</v>
      </c>
      <c r="G428">
        <v>368</v>
      </c>
      <c r="H428">
        <v>1396.65</v>
      </c>
      <c r="I428">
        <v>4506</v>
      </c>
      <c r="K428">
        <v>2016</v>
      </c>
      <c r="L428" t="s">
        <v>89</v>
      </c>
    </row>
    <row r="429" spans="1:12" x14ac:dyDescent="0.35">
      <c r="A429" t="s">
        <v>12</v>
      </c>
      <c r="B429" t="s">
        <v>88</v>
      </c>
      <c r="C429" t="s">
        <v>73</v>
      </c>
      <c r="D429">
        <v>5.77</v>
      </c>
      <c r="E429">
        <v>831</v>
      </c>
      <c r="F429">
        <v>2.04</v>
      </c>
      <c r="G429">
        <v>986</v>
      </c>
      <c r="H429">
        <v>8272</v>
      </c>
      <c r="I429">
        <v>4647</v>
      </c>
      <c r="K429">
        <v>2016</v>
      </c>
      <c r="L429" t="s">
        <v>89</v>
      </c>
    </row>
    <row r="430" spans="1:12" x14ac:dyDescent="0.35">
      <c r="A430" t="s">
        <v>12</v>
      </c>
      <c r="B430" t="s">
        <v>88</v>
      </c>
      <c r="C430" t="s">
        <v>26</v>
      </c>
      <c r="D430">
        <v>5.16</v>
      </c>
      <c r="E430">
        <v>530</v>
      </c>
      <c r="F430">
        <v>4.13</v>
      </c>
      <c r="G430">
        <v>342</v>
      </c>
      <c r="H430">
        <v>9386.34</v>
      </c>
      <c r="I430">
        <v>2023</v>
      </c>
      <c r="K430">
        <v>2016</v>
      </c>
      <c r="L430" t="s">
        <v>89</v>
      </c>
    </row>
    <row r="431" spans="1:12" x14ac:dyDescent="0.35">
      <c r="A431" t="s">
        <v>12</v>
      </c>
      <c r="B431" t="s">
        <v>88</v>
      </c>
      <c r="C431" t="s">
        <v>19</v>
      </c>
      <c r="D431">
        <v>7.08</v>
      </c>
      <c r="E431">
        <v>4002</v>
      </c>
      <c r="F431">
        <v>4.5</v>
      </c>
      <c r="G431">
        <v>17184</v>
      </c>
      <c r="H431">
        <v>189176</v>
      </c>
      <c r="I431">
        <v>24326</v>
      </c>
      <c r="K431">
        <v>2016</v>
      </c>
      <c r="L431" t="s">
        <v>89</v>
      </c>
    </row>
    <row r="432" spans="1:12" x14ac:dyDescent="0.35">
      <c r="A432" t="s">
        <v>12</v>
      </c>
      <c r="B432" t="s">
        <v>88</v>
      </c>
      <c r="C432" t="s">
        <v>58</v>
      </c>
      <c r="D432">
        <v>7</v>
      </c>
      <c r="E432">
        <v>1218</v>
      </c>
      <c r="F432">
        <v>4.54</v>
      </c>
      <c r="G432">
        <v>1500</v>
      </c>
      <c r="H432">
        <v>1361.45</v>
      </c>
      <c r="I432">
        <v>4108</v>
      </c>
      <c r="K432">
        <v>2016</v>
      </c>
      <c r="L432" t="s">
        <v>89</v>
      </c>
    </row>
    <row r="433" spans="1:12" x14ac:dyDescent="0.35">
      <c r="A433" t="s">
        <v>12</v>
      </c>
      <c r="B433" t="s">
        <v>88</v>
      </c>
      <c r="C433" t="s">
        <v>21</v>
      </c>
      <c r="D433">
        <v>5.03</v>
      </c>
      <c r="E433">
        <v>1184</v>
      </c>
      <c r="F433">
        <v>5.24</v>
      </c>
      <c r="G433">
        <v>273</v>
      </c>
      <c r="H433">
        <v>81315.460000000006</v>
      </c>
      <c r="I433">
        <v>6349</v>
      </c>
      <c r="K433">
        <v>2016</v>
      </c>
      <c r="L433" t="s">
        <v>89</v>
      </c>
    </row>
    <row r="434" spans="1:12" x14ac:dyDescent="0.35">
      <c r="A434" t="s">
        <v>12</v>
      </c>
      <c r="B434" t="s">
        <v>88</v>
      </c>
      <c r="C434" t="s">
        <v>25</v>
      </c>
      <c r="D434">
        <v>6.88</v>
      </c>
      <c r="E434">
        <v>3245</v>
      </c>
      <c r="F434">
        <v>5.18</v>
      </c>
      <c r="G434">
        <v>9021</v>
      </c>
      <c r="H434">
        <v>180075.85</v>
      </c>
      <c r="I434">
        <v>18948</v>
      </c>
      <c r="K434">
        <v>2016</v>
      </c>
      <c r="L434" t="s">
        <v>89</v>
      </c>
    </row>
    <row r="435" spans="1:12" x14ac:dyDescent="0.35">
      <c r="A435" t="s">
        <v>12</v>
      </c>
      <c r="B435" t="s">
        <v>88</v>
      </c>
      <c r="C435" t="s">
        <v>29</v>
      </c>
      <c r="D435">
        <v>7.01</v>
      </c>
      <c r="E435">
        <v>3718</v>
      </c>
      <c r="F435">
        <v>5.68</v>
      </c>
      <c r="G435">
        <v>10488</v>
      </c>
      <c r="H435">
        <v>276075.90999999997</v>
      </c>
      <c r="I435">
        <v>23527</v>
      </c>
      <c r="K435">
        <v>2016</v>
      </c>
      <c r="L435" t="s">
        <v>89</v>
      </c>
    </row>
    <row r="436" spans="1:12" x14ac:dyDescent="0.35">
      <c r="A436" t="s">
        <v>12</v>
      </c>
      <c r="B436" t="s">
        <v>88</v>
      </c>
      <c r="C436" t="s">
        <v>34</v>
      </c>
      <c r="D436">
        <v>6.46</v>
      </c>
      <c r="E436">
        <v>2593</v>
      </c>
      <c r="F436">
        <v>5.39</v>
      </c>
      <c r="G436">
        <v>6104</v>
      </c>
      <c r="H436">
        <v>189145.61</v>
      </c>
      <c r="I436">
        <v>15089</v>
      </c>
      <c r="K436">
        <v>2016</v>
      </c>
      <c r="L436" t="s">
        <v>89</v>
      </c>
    </row>
    <row r="437" spans="1:12" x14ac:dyDescent="0.35">
      <c r="A437" t="s">
        <v>12</v>
      </c>
      <c r="B437" t="s">
        <v>88</v>
      </c>
      <c r="C437" t="s">
        <v>38</v>
      </c>
      <c r="D437">
        <v>7.5</v>
      </c>
      <c r="E437">
        <v>2222</v>
      </c>
      <c r="F437">
        <v>5.58</v>
      </c>
      <c r="G437">
        <v>5562</v>
      </c>
      <c r="H437">
        <v>177304.27</v>
      </c>
      <c r="I437">
        <v>13516</v>
      </c>
      <c r="K437">
        <v>2016</v>
      </c>
      <c r="L437" t="s">
        <v>89</v>
      </c>
    </row>
    <row r="438" spans="1:12" x14ac:dyDescent="0.35">
      <c r="A438" t="s">
        <v>12</v>
      </c>
      <c r="B438" t="s">
        <v>88</v>
      </c>
      <c r="C438" t="s">
        <v>42</v>
      </c>
      <c r="D438">
        <v>7</v>
      </c>
      <c r="E438">
        <v>3596</v>
      </c>
      <c r="F438">
        <v>5.61</v>
      </c>
      <c r="G438">
        <v>7819</v>
      </c>
      <c r="H438">
        <v>299523</v>
      </c>
      <c r="I438">
        <v>24094</v>
      </c>
      <c r="K438">
        <v>2016</v>
      </c>
      <c r="L438" t="s">
        <v>89</v>
      </c>
    </row>
    <row r="439" spans="1:12" x14ac:dyDescent="0.35">
      <c r="A439" t="s">
        <v>12</v>
      </c>
      <c r="B439" t="s">
        <v>88</v>
      </c>
      <c r="C439" t="s">
        <v>76</v>
      </c>
      <c r="D439">
        <v>6.35</v>
      </c>
      <c r="E439">
        <v>1897</v>
      </c>
      <c r="F439">
        <v>5.15</v>
      </c>
      <c r="G439">
        <v>6673</v>
      </c>
      <c r="H439">
        <v>140364.42000000001</v>
      </c>
      <c r="I439">
        <v>11839</v>
      </c>
      <c r="K439">
        <v>2016</v>
      </c>
      <c r="L439" t="s">
        <v>89</v>
      </c>
    </row>
    <row r="440" spans="1:12" x14ac:dyDescent="0.35">
      <c r="A440" t="s">
        <v>12</v>
      </c>
      <c r="B440" t="s">
        <v>88</v>
      </c>
      <c r="C440" t="s">
        <v>41</v>
      </c>
      <c r="D440">
        <v>7.48</v>
      </c>
      <c r="E440">
        <v>268</v>
      </c>
      <c r="F440">
        <v>3.65</v>
      </c>
      <c r="G440">
        <v>108</v>
      </c>
      <c r="H440">
        <v>174.22</v>
      </c>
      <c r="I440">
        <v>1151</v>
      </c>
      <c r="K440">
        <v>2016</v>
      </c>
      <c r="L440" t="s">
        <v>89</v>
      </c>
    </row>
    <row r="441" spans="1:12" x14ac:dyDescent="0.35">
      <c r="A441" t="s">
        <v>12</v>
      </c>
      <c r="B441" t="s">
        <v>88</v>
      </c>
      <c r="C441" t="s">
        <v>56</v>
      </c>
      <c r="D441">
        <v>9.32</v>
      </c>
      <c r="E441">
        <v>192</v>
      </c>
      <c r="G441">
        <v>0</v>
      </c>
      <c r="H441">
        <v>80.260000000000005</v>
      </c>
      <c r="I441">
        <v>796</v>
      </c>
      <c r="K441">
        <v>2016</v>
      </c>
      <c r="L441" t="s">
        <v>89</v>
      </c>
    </row>
    <row r="442" spans="1:12" x14ac:dyDescent="0.35">
      <c r="A442" t="s">
        <v>12</v>
      </c>
      <c r="B442" t="s">
        <v>88</v>
      </c>
      <c r="C442" t="s">
        <v>33</v>
      </c>
      <c r="D442">
        <v>5.85</v>
      </c>
      <c r="E442">
        <v>565</v>
      </c>
      <c r="F442">
        <v>3.76</v>
      </c>
      <c r="G442">
        <v>569</v>
      </c>
      <c r="H442">
        <v>14104.96</v>
      </c>
      <c r="I442">
        <v>1779</v>
      </c>
      <c r="K442">
        <v>2016</v>
      </c>
      <c r="L442" t="s">
        <v>89</v>
      </c>
    </row>
    <row r="443" spans="1:12" x14ac:dyDescent="0.35">
      <c r="A443" t="s">
        <v>12</v>
      </c>
      <c r="B443" t="s">
        <v>88</v>
      </c>
      <c r="C443" t="s">
        <v>18</v>
      </c>
      <c r="D443">
        <v>8</v>
      </c>
      <c r="E443">
        <v>49</v>
      </c>
      <c r="F443">
        <v>3.2</v>
      </c>
      <c r="H443">
        <v>127.89</v>
      </c>
      <c r="I443">
        <v>333</v>
      </c>
      <c r="K443">
        <v>2016</v>
      </c>
      <c r="L443" t="s">
        <v>89</v>
      </c>
    </row>
    <row r="444" spans="1:12" x14ac:dyDescent="0.35">
      <c r="A444" t="s">
        <v>12</v>
      </c>
      <c r="B444" t="s">
        <v>88</v>
      </c>
      <c r="C444" t="s">
        <v>16</v>
      </c>
      <c r="D444">
        <v>7.78</v>
      </c>
      <c r="E444">
        <v>216</v>
      </c>
      <c r="F444">
        <v>3.3</v>
      </c>
      <c r="G444">
        <v>6</v>
      </c>
      <c r="H444">
        <v>32.450000000000003</v>
      </c>
      <c r="I444">
        <v>1050</v>
      </c>
      <c r="K444">
        <v>2016</v>
      </c>
      <c r="L444" t="s">
        <v>89</v>
      </c>
    </row>
    <row r="445" spans="1:12" x14ac:dyDescent="0.35">
      <c r="A445" t="s">
        <v>12</v>
      </c>
      <c r="B445" t="s">
        <v>88</v>
      </c>
      <c r="C445" t="s">
        <v>59</v>
      </c>
      <c r="D445">
        <v>7</v>
      </c>
      <c r="E445">
        <v>605</v>
      </c>
      <c r="G445">
        <v>0</v>
      </c>
      <c r="H445">
        <v>0</v>
      </c>
      <c r="K445">
        <v>2016</v>
      </c>
      <c r="L445" t="s">
        <v>89</v>
      </c>
    </row>
    <row r="446" spans="1:12" x14ac:dyDescent="0.35">
      <c r="A446" t="s">
        <v>12</v>
      </c>
      <c r="B446" t="s">
        <v>88</v>
      </c>
      <c r="C446" t="s">
        <v>60</v>
      </c>
      <c r="D446">
        <v>6.38</v>
      </c>
      <c r="E446">
        <v>122</v>
      </c>
      <c r="F446">
        <v>4.12</v>
      </c>
      <c r="G446">
        <v>11</v>
      </c>
      <c r="H446">
        <v>549.78</v>
      </c>
      <c r="I446">
        <v>680</v>
      </c>
      <c r="K446">
        <v>2016</v>
      </c>
      <c r="L446" t="s">
        <v>89</v>
      </c>
    </row>
    <row r="447" spans="1:12" x14ac:dyDescent="0.35">
      <c r="A447" t="s">
        <v>12</v>
      </c>
      <c r="B447" t="s">
        <v>88</v>
      </c>
      <c r="C447" t="s">
        <v>92</v>
      </c>
      <c r="D447">
        <v>4.5</v>
      </c>
      <c r="E447">
        <v>250</v>
      </c>
      <c r="F447">
        <v>2.5</v>
      </c>
      <c r="G447">
        <v>451</v>
      </c>
      <c r="H447">
        <v>169.15</v>
      </c>
      <c r="K447">
        <v>2016</v>
      </c>
      <c r="L447" t="s">
        <v>89</v>
      </c>
    </row>
    <row r="448" spans="1:12" x14ac:dyDescent="0.35">
      <c r="A448" t="s">
        <v>12</v>
      </c>
      <c r="B448" t="s">
        <v>88</v>
      </c>
      <c r="C448" t="s">
        <v>44</v>
      </c>
      <c r="D448">
        <v>5.3</v>
      </c>
      <c r="E448">
        <v>910</v>
      </c>
      <c r="F448">
        <v>3.22</v>
      </c>
      <c r="G448">
        <v>2094</v>
      </c>
      <c r="H448">
        <v>16282.48</v>
      </c>
      <c r="I448">
        <v>5365</v>
      </c>
      <c r="K448">
        <v>2016</v>
      </c>
      <c r="L448" t="s">
        <v>89</v>
      </c>
    </row>
    <row r="449" spans="1:12" x14ac:dyDescent="0.35">
      <c r="A449" t="s">
        <v>12</v>
      </c>
      <c r="B449" t="s">
        <v>88</v>
      </c>
      <c r="C449" t="s">
        <v>39</v>
      </c>
      <c r="D449">
        <v>9.51</v>
      </c>
      <c r="E449">
        <v>3844</v>
      </c>
      <c r="F449">
        <v>2.67</v>
      </c>
      <c r="G449">
        <v>10343</v>
      </c>
      <c r="H449">
        <v>70275</v>
      </c>
      <c r="I449">
        <v>32590</v>
      </c>
      <c r="K449">
        <v>2016</v>
      </c>
      <c r="L449" t="s">
        <v>89</v>
      </c>
    </row>
    <row r="450" spans="1:12" x14ac:dyDescent="0.35">
      <c r="A450" t="s">
        <v>12</v>
      </c>
      <c r="B450" t="s">
        <v>88</v>
      </c>
      <c r="C450" t="s">
        <v>71</v>
      </c>
      <c r="D450">
        <v>7.6</v>
      </c>
      <c r="E450">
        <v>129</v>
      </c>
      <c r="F450">
        <v>3.98</v>
      </c>
      <c r="G450">
        <v>222</v>
      </c>
      <c r="H450">
        <v>2953.78</v>
      </c>
      <c r="I450">
        <v>944</v>
      </c>
      <c r="K450">
        <v>2016</v>
      </c>
      <c r="L450" t="s">
        <v>89</v>
      </c>
    </row>
    <row r="451" spans="1:12" x14ac:dyDescent="0.35">
      <c r="A451" t="s">
        <v>12</v>
      </c>
      <c r="B451" t="s">
        <v>88</v>
      </c>
      <c r="C451" t="s">
        <v>14</v>
      </c>
      <c r="E451">
        <v>336</v>
      </c>
      <c r="F451">
        <v>3.1</v>
      </c>
      <c r="G451">
        <v>485</v>
      </c>
      <c r="H451">
        <v>203.86</v>
      </c>
      <c r="I451">
        <v>1166</v>
      </c>
      <c r="K451">
        <v>2016</v>
      </c>
      <c r="L451" t="s">
        <v>89</v>
      </c>
    </row>
    <row r="452" spans="1:12" x14ac:dyDescent="0.35">
      <c r="A452" t="s">
        <v>12</v>
      </c>
      <c r="B452" t="s">
        <v>88</v>
      </c>
      <c r="C452" t="s">
        <v>45</v>
      </c>
      <c r="D452">
        <v>9.02</v>
      </c>
      <c r="E452">
        <v>2045</v>
      </c>
      <c r="F452">
        <v>3.14</v>
      </c>
      <c r="G452">
        <v>3939</v>
      </c>
      <c r="H452">
        <v>41496.51</v>
      </c>
      <c r="I452">
        <v>9656</v>
      </c>
      <c r="K452">
        <v>2016</v>
      </c>
      <c r="L452" t="s">
        <v>89</v>
      </c>
    </row>
    <row r="453" spans="1:12" x14ac:dyDescent="0.35">
      <c r="A453" t="s">
        <v>12</v>
      </c>
      <c r="B453" t="s">
        <v>88</v>
      </c>
      <c r="C453" t="s">
        <v>93</v>
      </c>
      <c r="E453">
        <v>90</v>
      </c>
      <c r="G453">
        <v>111</v>
      </c>
      <c r="H453">
        <v>50.49</v>
      </c>
      <c r="I453">
        <v>469</v>
      </c>
      <c r="K453">
        <v>2016</v>
      </c>
      <c r="L453" t="s">
        <v>89</v>
      </c>
    </row>
    <row r="454" spans="1:12" x14ac:dyDescent="0.35">
      <c r="A454" t="s">
        <v>12</v>
      </c>
      <c r="B454" t="s">
        <v>88</v>
      </c>
      <c r="C454" t="s">
        <v>61</v>
      </c>
      <c r="D454">
        <v>7</v>
      </c>
      <c r="E454">
        <v>393</v>
      </c>
      <c r="F454">
        <v>2.15</v>
      </c>
      <c r="G454">
        <v>470</v>
      </c>
      <c r="H454">
        <v>0</v>
      </c>
      <c r="I454">
        <v>2995</v>
      </c>
      <c r="K454">
        <v>2016</v>
      </c>
      <c r="L454" t="s">
        <v>89</v>
      </c>
    </row>
    <row r="455" spans="1:12" x14ac:dyDescent="0.35">
      <c r="A455" t="s">
        <v>12</v>
      </c>
      <c r="B455" t="s">
        <v>88</v>
      </c>
      <c r="C455" t="s">
        <v>79</v>
      </c>
      <c r="D455">
        <v>3.27</v>
      </c>
      <c r="E455">
        <v>169</v>
      </c>
      <c r="F455">
        <v>3.34</v>
      </c>
      <c r="G455">
        <v>147</v>
      </c>
      <c r="H455">
        <v>1864.16</v>
      </c>
      <c r="I455">
        <v>560</v>
      </c>
      <c r="K455">
        <v>2016</v>
      </c>
      <c r="L455" t="s">
        <v>89</v>
      </c>
    </row>
    <row r="456" spans="1:12" x14ac:dyDescent="0.35">
      <c r="A456" t="s">
        <v>12</v>
      </c>
      <c r="B456" t="s">
        <v>88</v>
      </c>
      <c r="C456" t="s">
        <v>77</v>
      </c>
      <c r="D456">
        <v>0</v>
      </c>
      <c r="E456">
        <v>1552</v>
      </c>
      <c r="F456">
        <v>0</v>
      </c>
      <c r="G456">
        <v>3743</v>
      </c>
      <c r="H456">
        <v>49152.98</v>
      </c>
      <c r="K456">
        <v>2016</v>
      </c>
      <c r="L456" t="s">
        <v>89</v>
      </c>
    </row>
    <row r="457" spans="1:12" x14ac:dyDescent="0.35">
      <c r="A457" t="s">
        <v>12</v>
      </c>
      <c r="B457" t="s">
        <v>94</v>
      </c>
      <c r="C457" t="s">
        <v>30</v>
      </c>
      <c r="D457">
        <v>4.75</v>
      </c>
      <c r="E457">
        <v>4063</v>
      </c>
      <c r="F457">
        <v>4.74</v>
      </c>
      <c r="G457">
        <v>3993.74</v>
      </c>
      <c r="H457">
        <v>145915</v>
      </c>
      <c r="I457">
        <v>16004</v>
      </c>
      <c r="K457">
        <v>2017</v>
      </c>
      <c r="L457" t="s">
        <v>95</v>
      </c>
    </row>
    <row r="458" spans="1:12" x14ac:dyDescent="0.35">
      <c r="A458" t="s">
        <v>12</v>
      </c>
      <c r="B458" t="s">
        <v>94</v>
      </c>
      <c r="C458" t="s">
        <v>93</v>
      </c>
      <c r="E458">
        <v>75</v>
      </c>
      <c r="G458">
        <v>80.739999999999995</v>
      </c>
      <c r="I458">
        <v>433</v>
      </c>
      <c r="K458">
        <v>2017</v>
      </c>
      <c r="L458" t="s">
        <v>95</v>
      </c>
    </row>
    <row r="459" spans="1:12" x14ac:dyDescent="0.35">
      <c r="A459" t="s">
        <v>12</v>
      </c>
      <c r="B459" t="s">
        <v>94</v>
      </c>
      <c r="C459" t="s">
        <v>43</v>
      </c>
      <c r="D459">
        <v>5.56</v>
      </c>
      <c r="E459">
        <v>11687</v>
      </c>
      <c r="F459">
        <v>5.23</v>
      </c>
      <c r="G459">
        <v>24236</v>
      </c>
      <c r="H459">
        <v>544387.26</v>
      </c>
      <c r="I459">
        <v>54349</v>
      </c>
      <c r="K459">
        <v>2017</v>
      </c>
      <c r="L459" t="s">
        <v>95</v>
      </c>
    </row>
    <row r="460" spans="1:12" x14ac:dyDescent="0.35">
      <c r="A460" t="s">
        <v>12</v>
      </c>
      <c r="B460" t="s">
        <v>94</v>
      </c>
      <c r="C460" t="s">
        <v>18</v>
      </c>
      <c r="D460">
        <v>7</v>
      </c>
      <c r="E460">
        <v>42</v>
      </c>
      <c r="F460">
        <v>3.2</v>
      </c>
      <c r="G460">
        <v>0.52</v>
      </c>
      <c r="H460">
        <v>115.36</v>
      </c>
      <c r="I460">
        <v>287</v>
      </c>
      <c r="K460">
        <v>2017</v>
      </c>
      <c r="L460" t="s">
        <v>95</v>
      </c>
    </row>
    <row r="461" spans="1:12" x14ac:dyDescent="0.35">
      <c r="A461" t="s">
        <v>12</v>
      </c>
      <c r="B461" t="s">
        <v>94</v>
      </c>
      <c r="C461" t="s">
        <v>25</v>
      </c>
      <c r="D461">
        <v>7.21</v>
      </c>
      <c r="E461">
        <v>3116</v>
      </c>
      <c r="F461">
        <v>5.12</v>
      </c>
      <c r="G461">
        <v>8844.35</v>
      </c>
      <c r="H461">
        <v>225081.87</v>
      </c>
      <c r="I461">
        <v>18597</v>
      </c>
      <c r="K461">
        <v>2017</v>
      </c>
      <c r="L461" t="s">
        <v>95</v>
      </c>
    </row>
    <row r="462" spans="1:12" x14ac:dyDescent="0.35">
      <c r="A462" t="s">
        <v>12</v>
      </c>
      <c r="B462" t="s">
        <v>94</v>
      </c>
      <c r="C462" t="s">
        <v>73</v>
      </c>
      <c r="D462">
        <v>3.73</v>
      </c>
      <c r="E462">
        <v>1153</v>
      </c>
      <c r="F462">
        <v>1.97</v>
      </c>
      <c r="G462">
        <v>947</v>
      </c>
      <c r="H462">
        <v>8249</v>
      </c>
      <c r="I462">
        <v>4361</v>
      </c>
      <c r="K462">
        <v>2017</v>
      </c>
      <c r="L462" t="s">
        <v>95</v>
      </c>
    </row>
    <row r="463" spans="1:12" x14ac:dyDescent="0.35">
      <c r="A463" t="s">
        <v>12</v>
      </c>
      <c r="B463" t="s">
        <v>94</v>
      </c>
      <c r="C463" t="s">
        <v>16</v>
      </c>
      <c r="D463">
        <v>7.78</v>
      </c>
      <c r="E463">
        <v>249</v>
      </c>
      <c r="F463">
        <v>3.19</v>
      </c>
      <c r="G463">
        <v>4.7</v>
      </c>
      <c r="H463">
        <v>24.67</v>
      </c>
      <c r="I463">
        <v>1050</v>
      </c>
      <c r="K463">
        <v>2017</v>
      </c>
      <c r="L463" t="s">
        <v>95</v>
      </c>
    </row>
    <row r="464" spans="1:12" x14ac:dyDescent="0.35">
      <c r="A464" t="s">
        <v>12</v>
      </c>
      <c r="B464" t="s">
        <v>94</v>
      </c>
      <c r="C464" t="s">
        <v>91</v>
      </c>
      <c r="D464">
        <v>5.62</v>
      </c>
      <c r="E464">
        <v>508</v>
      </c>
      <c r="F464">
        <v>2.82</v>
      </c>
      <c r="G464">
        <v>1.49</v>
      </c>
      <c r="H464">
        <v>161.77000000000001</v>
      </c>
      <c r="I464">
        <v>1119</v>
      </c>
      <c r="K464">
        <v>2017</v>
      </c>
      <c r="L464" t="s">
        <v>95</v>
      </c>
    </row>
    <row r="465" spans="1:12" x14ac:dyDescent="0.35">
      <c r="A465" t="s">
        <v>12</v>
      </c>
      <c r="B465" t="s">
        <v>94</v>
      </c>
      <c r="C465" t="s">
        <v>29</v>
      </c>
      <c r="D465">
        <v>7.86</v>
      </c>
      <c r="E465">
        <v>3616</v>
      </c>
      <c r="F465">
        <v>5.69</v>
      </c>
      <c r="G465">
        <v>10179.26</v>
      </c>
      <c r="H465">
        <v>269524.36</v>
      </c>
      <c r="I465">
        <v>23099</v>
      </c>
      <c r="K465">
        <v>2017</v>
      </c>
      <c r="L465" t="s">
        <v>95</v>
      </c>
    </row>
    <row r="466" spans="1:12" x14ac:dyDescent="0.35">
      <c r="A466" t="s">
        <v>12</v>
      </c>
      <c r="B466" t="s">
        <v>94</v>
      </c>
      <c r="C466" t="s">
        <v>74</v>
      </c>
      <c r="D466">
        <v>8</v>
      </c>
      <c r="E466">
        <v>270</v>
      </c>
      <c r="G466">
        <v>70.14</v>
      </c>
      <c r="H466">
        <v>73.87</v>
      </c>
      <c r="I466">
        <v>258</v>
      </c>
      <c r="K466">
        <v>2017</v>
      </c>
      <c r="L466" t="s">
        <v>95</v>
      </c>
    </row>
    <row r="467" spans="1:12" x14ac:dyDescent="0.35">
      <c r="A467" t="s">
        <v>12</v>
      </c>
      <c r="B467" t="s">
        <v>94</v>
      </c>
      <c r="C467" t="s">
        <v>36</v>
      </c>
      <c r="D467">
        <v>14.85</v>
      </c>
      <c r="E467">
        <v>579</v>
      </c>
      <c r="F467">
        <v>4.66</v>
      </c>
      <c r="G467">
        <v>162</v>
      </c>
      <c r="H467">
        <v>9875.77</v>
      </c>
      <c r="I467">
        <v>1170</v>
      </c>
      <c r="K467">
        <v>2017</v>
      </c>
      <c r="L467" t="s">
        <v>95</v>
      </c>
    </row>
    <row r="468" spans="1:12" x14ac:dyDescent="0.35">
      <c r="A468" t="s">
        <v>12</v>
      </c>
      <c r="B468" t="s">
        <v>94</v>
      </c>
      <c r="C468" t="s">
        <v>47</v>
      </c>
      <c r="D468">
        <v>5.43</v>
      </c>
      <c r="E468">
        <v>12143</v>
      </c>
      <c r="F468">
        <v>5.25</v>
      </c>
      <c r="G468">
        <v>6257.93</v>
      </c>
      <c r="H468">
        <v>483664</v>
      </c>
      <c r="I468">
        <v>22633</v>
      </c>
      <c r="K468">
        <v>2017</v>
      </c>
      <c r="L468" t="s">
        <v>95</v>
      </c>
    </row>
    <row r="469" spans="1:12" x14ac:dyDescent="0.35">
      <c r="A469" t="s">
        <v>12</v>
      </c>
      <c r="B469" t="s">
        <v>94</v>
      </c>
      <c r="C469" t="s">
        <v>59</v>
      </c>
      <c r="D469">
        <v>7</v>
      </c>
      <c r="E469">
        <v>602</v>
      </c>
      <c r="F469">
        <v>4.5199999999999996</v>
      </c>
      <c r="G469">
        <v>602.25</v>
      </c>
      <c r="H469">
        <v>350.4</v>
      </c>
      <c r="I469">
        <v>2940</v>
      </c>
      <c r="K469">
        <v>2017</v>
      </c>
      <c r="L469" t="s">
        <v>95</v>
      </c>
    </row>
    <row r="470" spans="1:12" x14ac:dyDescent="0.35">
      <c r="A470" t="s">
        <v>12</v>
      </c>
      <c r="B470" t="s">
        <v>94</v>
      </c>
      <c r="C470" t="s">
        <v>32</v>
      </c>
      <c r="D470">
        <v>8.1</v>
      </c>
      <c r="E470">
        <v>3970</v>
      </c>
      <c r="G470">
        <v>10897.91</v>
      </c>
      <c r="H470">
        <v>109766.51</v>
      </c>
      <c r="I470">
        <v>25489</v>
      </c>
      <c r="K470">
        <v>2017</v>
      </c>
      <c r="L470" t="s">
        <v>95</v>
      </c>
    </row>
    <row r="471" spans="1:12" x14ac:dyDescent="0.35">
      <c r="A471" t="s">
        <v>12</v>
      </c>
      <c r="B471" t="s">
        <v>94</v>
      </c>
      <c r="C471" t="s">
        <v>77</v>
      </c>
      <c r="D471">
        <v>0</v>
      </c>
      <c r="E471">
        <v>1648</v>
      </c>
      <c r="F471">
        <v>0</v>
      </c>
      <c r="G471">
        <v>4250.79</v>
      </c>
      <c r="H471">
        <v>59179.47</v>
      </c>
      <c r="I471">
        <v>0</v>
      </c>
      <c r="K471">
        <v>2017</v>
      </c>
      <c r="L471" t="s">
        <v>95</v>
      </c>
    </row>
    <row r="472" spans="1:12" x14ac:dyDescent="0.35">
      <c r="A472" t="s">
        <v>12</v>
      </c>
      <c r="B472" t="s">
        <v>94</v>
      </c>
      <c r="C472" t="s">
        <v>34</v>
      </c>
      <c r="D472">
        <v>7.21</v>
      </c>
      <c r="E472">
        <v>2477</v>
      </c>
      <c r="F472">
        <v>5.36</v>
      </c>
      <c r="G472">
        <v>6121.07</v>
      </c>
      <c r="H472">
        <v>183162.62</v>
      </c>
      <c r="I472">
        <v>14880</v>
      </c>
      <c r="K472">
        <v>2017</v>
      </c>
      <c r="L472" t="s">
        <v>95</v>
      </c>
    </row>
    <row r="473" spans="1:12" x14ac:dyDescent="0.35">
      <c r="A473" t="s">
        <v>12</v>
      </c>
      <c r="B473" t="s">
        <v>94</v>
      </c>
      <c r="C473" t="s">
        <v>31</v>
      </c>
      <c r="D473">
        <v>5.55</v>
      </c>
      <c r="E473">
        <v>7345</v>
      </c>
      <c r="F473">
        <v>5.27</v>
      </c>
      <c r="G473">
        <v>7187.99</v>
      </c>
      <c r="H473">
        <v>358257.06</v>
      </c>
      <c r="I473">
        <v>39835</v>
      </c>
      <c r="K473">
        <v>2017</v>
      </c>
      <c r="L473" t="s">
        <v>95</v>
      </c>
    </row>
    <row r="474" spans="1:12" x14ac:dyDescent="0.35">
      <c r="A474" t="s">
        <v>12</v>
      </c>
      <c r="B474" t="s">
        <v>94</v>
      </c>
      <c r="C474" t="s">
        <v>26</v>
      </c>
      <c r="D474">
        <v>5.61</v>
      </c>
      <c r="E474">
        <v>520</v>
      </c>
      <c r="F474">
        <v>4.0999999999999996</v>
      </c>
      <c r="G474">
        <v>354.01</v>
      </c>
      <c r="H474">
        <v>10620.32</v>
      </c>
      <c r="I474">
        <v>2077</v>
      </c>
      <c r="K474">
        <v>2017</v>
      </c>
      <c r="L474" t="s">
        <v>95</v>
      </c>
    </row>
    <row r="475" spans="1:12" x14ac:dyDescent="0.35">
      <c r="A475" t="s">
        <v>12</v>
      </c>
      <c r="B475" t="s">
        <v>94</v>
      </c>
      <c r="C475" t="s">
        <v>79</v>
      </c>
      <c r="D475">
        <v>3.95</v>
      </c>
      <c r="E475">
        <v>216</v>
      </c>
      <c r="F475">
        <v>3.28</v>
      </c>
      <c r="G475">
        <v>145.63999999999999</v>
      </c>
      <c r="H475">
        <v>1703.11</v>
      </c>
      <c r="I475">
        <v>498</v>
      </c>
      <c r="K475">
        <v>2017</v>
      </c>
      <c r="L475" t="s">
        <v>95</v>
      </c>
    </row>
    <row r="476" spans="1:12" x14ac:dyDescent="0.35">
      <c r="A476" t="s">
        <v>12</v>
      </c>
      <c r="B476" t="s">
        <v>94</v>
      </c>
      <c r="C476" t="s">
        <v>28</v>
      </c>
      <c r="D476">
        <v>4.3499999999999996</v>
      </c>
      <c r="E476">
        <v>3172</v>
      </c>
      <c r="F476">
        <v>3.71</v>
      </c>
      <c r="G476">
        <v>0</v>
      </c>
      <c r="H476">
        <v>68523.850000000006</v>
      </c>
      <c r="I476">
        <v>9781</v>
      </c>
      <c r="K476">
        <v>2017</v>
      </c>
      <c r="L476" t="s">
        <v>95</v>
      </c>
    </row>
    <row r="477" spans="1:12" x14ac:dyDescent="0.35">
      <c r="A477" t="s">
        <v>12</v>
      </c>
      <c r="B477" t="s">
        <v>94</v>
      </c>
      <c r="C477" t="s">
        <v>61</v>
      </c>
      <c r="D477">
        <v>6</v>
      </c>
      <c r="E477">
        <v>482</v>
      </c>
      <c r="F477">
        <v>2.0499999999999998</v>
      </c>
      <c r="G477">
        <v>641.20000000000005</v>
      </c>
      <c r="I477">
        <v>2977</v>
      </c>
      <c r="K477">
        <v>2017</v>
      </c>
      <c r="L477" t="s">
        <v>95</v>
      </c>
    </row>
    <row r="478" spans="1:12" x14ac:dyDescent="0.35">
      <c r="A478" t="s">
        <v>12</v>
      </c>
      <c r="B478" t="s">
        <v>94</v>
      </c>
      <c r="C478" t="s">
        <v>60</v>
      </c>
      <c r="D478">
        <v>7.81</v>
      </c>
      <c r="E478">
        <v>122</v>
      </c>
      <c r="F478">
        <v>3.72</v>
      </c>
      <c r="G478">
        <v>11.31</v>
      </c>
      <c r="H478">
        <v>583</v>
      </c>
      <c r="I478">
        <v>798</v>
      </c>
      <c r="K478">
        <v>2017</v>
      </c>
      <c r="L478" t="s">
        <v>95</v>
      </c>
    </row>
    <row r="479" spans="1:12" x14ac:dyDescent="0.35">
      <c r="A479" t="s">
        <v>12</v>
      </c>
      <c r="B479" t="s">
        <v>94</v>
      </c>
      <c r="C479" t="s">
        <v>27</v>
      </c>
      <c r="D479">
        <v>10</v>
      </c>
      <c r="E479">
        <v>525</v>
      </c>
      <c r="F479">
        <v>4.28</v>
      </c>
      <c r="G479">
        <v>43.94</v>
      </c>
      <c r="H479">
        <v>4232.3999999999996</v>
      </c>
      <c r="I479">
        <v>2244</v>
      </c>
      <c r="K479">
        <v>2017</v>
      </c>
      <c r="L479" t="s">
        <v>95</v>
      </c>
    </row>
    <row r="480" spans="1:12" x14ac:dyDescent="0.35">
      <c r="A480" t="s">
        <v>12</v>
      </c>
      <c r="B480" t="s">
        <v>94</v>
      </c>
      <c r="C480" t="s">
        <v>38</v>
      </c>
      <c r="D480">
        <v>8.35</v>
      </c>
      <c r="E480">
        <v>2222</v>
      </c>
      <c r="F480">
        <v>5.64</v>
      </c>
      <c r="G480">
        <v>5559.65</v>
      </c>
      <c r="H480">
        <v>173191.32</v>
      </c>
      <c r="I480">
        <v>13348</v>
      </c>
      <c r="K480">
        <v>2017</v>
      </c>
      <c r="L480" t="s">
        <v>95</v>
      </c>
    </row>
    <row r="481" spans="1:12" x14ac:dyDescent="0.35">
      <c r="A481" t="s">
        <v>12</v>
      </c>
      <c r="B481" t="s">
        <v>94</v>
      </c>
      <c r="C481" t="s">
        <v>65</v>
      </c>
      <c r="D481">
        <v>6.9</v>
      </c>
      <c r="E481">
        <v>10558</v>
      </c>
      <c r="G481">
        <v>34291.75</v>
      </c>
      <c r="H481">
        <v>456223.67</v>
      </c>
      <c r="I481">
        <v>52507</v>
      </c>
      <c r="K481">
        <v>2017</v>
      </c>
      <c r="L481" t="s">
        <v>95</v>
      </c>
    </row>
    <row r="482" spans="1:12" x14ac:dyDescent="0.35">
      <c r="A482" t="s">
        <v>12</v>
      </c>
      <c r="B482" t="s">
        <v>94</v>
      </c>
      <c r="C482" t="s">
        <v>24</v>
      </c>
      <c r="D482">
        <v>4.71</v>
      </c>
      <c r="E482">
        <v>8563</v>
      </c>
      <c r="F482">
        <v>4.84</v>
      </c>
      <c r="G482">
        <v>10833.98</v>
      </c>
      <c r="H482">
        <v>416388.9</v>
      </c>
      <c r="I482">
        <v>38449</v>
      </c>
      <c r="K482">
        <v>2017</v>
      </c>
      <c r="L482" t="s">
        <v>95</v>
      </c>
    </row>
    <row r="483" spans="1:12" x14ac:dyDescent="0.35">
      <c r="A483" t="s">
        <v>12</v>
      </c>
      <c r="B483" t="s">
        <v>94</v>
      </c>
      <c r="C483" t="s">
        <v>45</v>
      </c>
      <c r="D483">
        <v>8.07</v>
      </c>
      <c r="E483">
        <v>1961</v>
      </c>
      <c r="F483">
        <v>3.1</v>
      </c>
      <c r="G483">
        <v>3975.61</v>
      </c>
      <c r="H483">
        <v>45186.54</v>
      </c>
      <c r="I483">
        <v>9311</v>
      </c>
      <c r="K483">
        <v>2017</v>
      </c>
      <c r="L483" t="s">
        <v>95</v>
      </c>
    </row>
    <row r="484" spans="1:12" x14ac:dyDescent="0.35">
      <c r="A484" t="s">
        <v>12</v>
      </c>
      <c r="B484" t="s">
        <v>94</v>
      </c>
      <c r="C484" t="s">
        <v>42</v>
      </c>
      <c r="D484">
        <v>7.77</v>
      </c>
      <c r="E484">
        <v>3502</v>
      </c>
      <c r="F484">
        <v>5.61</v>
      </c>
      <c r="G484">
        <v>8858.07</v>
      </c>
      <c r="H484">
        <v>290099</v>
      </c>
      <c r="I484">
        <v>23361</v>
      </c>
      <c r="K484">
        <v>2017</v>
      </c>
      <c r="L484" t="s">
        <v>95</v>
      </c>
    </row>
    <row r="485" spans="1:12" x14ac:dyDescent="0.35">
      <c r="A485" t="s">
        <v>12</v>
      </c>
      <c r="B485" t="s">
        <v>94</v>
      </c>
      <c r="C485" t="s">
        <v>23</v>
      </c>
      <c r="D485">
        <v>6.32</v>
      </c>
      <c r="E485">
        <v>5738</v>
      </c>
      <c r="F485">
        <v>4.08</v>
      </c>
      <c r="G485">
        <v>10593</v>
      </c>
      <c r="H485">
        <v>301791</v>
      </c>
      <c r="I485">
        <v>40060</v>
      </c>
      <c r="K485">
        <v>2017</v>
      </c>
      <c r="L485" t="s">
        <v>95</v>
      </c>
    </row>
    <row r="486" spans="1:12" x14ac:dyDescent="0.35">
      <c r="A486" t="s">
        <v>12</v>
      </c>
      <c r="B486" t="s">
        <v>94</v>
      </c>
      <c r="C486" t="s">
        <v>19</v>
      </c>
      <c r="D486">
        <v>7.96</v>
      </c>
      <c r="E486">
        <v>3848</v>
      </c>
      <c r="F486">
        <v>4.5</v>
      </c>
      <c r="G486">
        <v>15186</v>
      </c>
      <c r="H486">
        <v>165039</v>
      </c>
      <c r="I486">
        <v>23688</v>
      </c>
      <c r="K486">
        <v>2017</v>
      </c>
      <c r="L486" t="s">
        <v>95</v>
      </c>
    </row>
    <row r="487" spans="1:12" x14ac:dyDescent="0.35">
      <c r="A487" t="s">
        <v>12</v>
      </c>
      <c r="B487" t="s">
        <v>94</v>
      </c>
      <c r="C487" t="s">
        <v>92</v>
      </c>
      <c r="D487">
        <v>5.5</v>
      </c>
      <c r="E487">
        <v>254</v>
      </c>
      <c r="F487">
        <v>2.2999999999999998</v>
      </c>
      <c r="G487">
        <v>459.16</v>
      </c>
      <c r="H487">
        <v>158.24</v>
      </c>
      <c r="I487">
        <v>0</v>
      </c>
      <c r="K487">
        <v>2017</v>
      </c>
      <c r="L487" t="s">
        <v>95</v>
      </c>
    </row>
    <row r="488" spans="1:12" x14ac:dyDescent="0.35">
      <c r="A488" t="s">
        <v>12</v>
      </c>
      <c r="B488" t="s">
        <v>94</v>
      </c>
      <c r="C488" t="s">
        <v>22</v>
      </c>
      <c r="D488">
        <v>6.3</v>
      </c>
      <c r="E488">
        <v>18652</v>
      </c>
      <c r="F488">
        <v>4.72</v>
      </c>
      <c r="G488">
        <v>24446.25</v>
      </c>
      <c r="H488">
        <v>624445</v>
      </c>
      <c r="I488">
        <v>101196</v>
      </c>
      <c r="K488">
        <v>2017</v>
      </c>
      <c r="L488" t="s">
        <v>95</v>
      </c>
    </row>
    <row r="489" spans="1:12" x14ac:dyDescent="0.35">
      <c r="A489" t="s">
        <v>12</v>
      </c>
      <c r="B489" t="s">
        <v>94</v>
      </c>
      <c r="C489" t="s">
        <v>14</v>
      </c>
      <c r="E489">
        <v>386</v>
      </c>
      <c r="F489">
        <v>3</v>
      </c>
      <c r="G489">
        <v>515.33000000000004</v>
      </c>
      <c r="H489">
        <v>219.67</v>
      </c>
      <c r="I489">
        <v>1138</v>
      </c>
      <c r="K489">
        <v>2017</v>
      </c>
      <c r="L489" t="s">
        <v>95</v>
      </c>
    </row>
    <row r="490" spans="1:12" x14ac:dyDescent="0.35">
      <c r="A490" t="s">
        <v>12</v>
      </c>
      <c r="B490" t="s">
        <v>94</v>
      </c>
      <c r="C490" t="s">
        <v>76</v>
      </c>
      <c r="D490">
        <v>6.95</v>
      </c>
      <c r="E490">
        <v>1839</v>
      </c>
      <c r="F490">
        <v>5.16</v>
      </c>
      <c r="G490">
        <v>6352.4</v>
      </c>
      <c r="H490">
        <v>138569.95000000001</v>
      </c>
      <c r="I490">
        <v>11620</v>
      </c>
      <c r="K490">
        <v>2017</v>
      </c>
      <c r="L490" t="s">
        <v>95</v>
      </c>
    </row>
    <row r="491" spans="1:12" x14ac:dyDescent="0.35">
      <c r="A491" t="s">
        <v>12</v>
      </c>
      <c r="B491" t="s">
        <v>94</v>
      </c>
      <c r="C491" t="s">
        <v>20</v>
      </c>
      <c r="D491">
        <v>7</v>
      </c>
      <c r="E491">
        <v>61</v>
      </c>
      <c r="F491">
        <v>5.12</v>
      </c>
      <c r="G491">
        <v>2.17</v>
      </c>
      <c r="H491">
        <v>409.09</v>
      </c>
      <c r="I491">
        <v>251</v>
      </c>
      <c r="K491">
        <v>2017</v>
      </c>
      <c r="L491" t="s">
        <v>95</v>
      </c>
    </row>
    <row r="492" spans="1:12" x14ac:dyDescent="0.35">
      <c r="A492" t="s">
        <v>12</v>
      </c>
      <c r="B492" t="s">
        <v>94</v>
      </c>
      <c r="C492" t="s">
        <v>55</v>
      </c>
      <c r="D492">
        <v>6.5</v>
      </c>
      <c r="E492">
        <v>1297</v>
      </c>
      <c r="F492">
        <v>4.8499999999999996</v>
      </c>
      <c r="G492">
        <v>405.54</v>
      </c>
      <c r="H492">
        <v>1552.42</v>
      </c>
      <c r="I492">
        <v>4339</v>
      </c>
      <c r="K492">
        <v>2017</v>
      </c>
      <c r="L492" t="s">
        <v>95</v>
      </c>
    </row>
    <row r="493" spans="1:12" x14ac:dyDescent="0.35">
      <c r="A493" t="s">
        <v>12</v>
      </c>
      <c r="B493" t="s">
        <v>94</v>
      </c>
      <c r="C493" t="s">
        <v>75</v>
      </c>
      <c r="D493">
        <v>8</v>
      </c>
      <c r="E493">
        <v>126</v>
      </c>
      <c r="F493">
        <v>4.4000000000000004</v>
      </c>
      <c r="G493">
        <v>102</v>
      </c>
      <c r="H493">
        <v>73</v>
      </c>
      <c r="I493">
        <v>454</v>
      </c>
      <c r="K493">
        <v>2017</v>
      </c>
      <c r="L493" t="s">
        <v>95</v>
      </c>
    </row>
    <row r="494" spans="1:12" x14ac:dyDescent="0.35">
      <c r="A494" t="s">
        <v>12</v>
      </c>
      <c r="B494" t="s">
        <v>94</v>
      </c>
      <c r="C494" t="s">
        <v>52</v>
      </c>
      <c r="D494">
        <v>6.48</v>
      </c>
      <c r="E494">
        <v>868</v>
      </c>
      <c r="F494">
        <v>4.13</v>
      </c>
      <c r="G494">
        <v>0</v>
      </c>
      <c r="H494">
        <v>19930.759999999998</v>
      </c>
      <c r="I494">
        <v>3226</v>
      </c>
      <c r="K494">
        <v>2017</v>
      </c>
      <c r="L494" t="s">
        <v>95</v>
      </c>
    </row>
    <row r="495" spans="1:12" x14ac:dyDescent="0.35">
      <c r="A495" t="s">
        <v>12</v>
      </c>
      <c r="B495" t="s">
        <v>94</v>
      </c>
      <c r="C495" t="s">
        <v>40</v>
      </c>
      <c r="D495">
        <v>4.37</v>
      </c>
      <c r="E495">
        <v>1327</v>
      </c>
      <c r="F495">
        <v>3.7</v>
      </c>
      <c r="G495">
        <v>178.41</v>
      </c>
      <c r="H495">
        <v>7569.06</v>
      </c>
      <c r="I495">
        <v>3254</v>
      </c>
      <c r="K495">
        <v>2017</v>
      </c>
      <c r="L495" t="s">
        <v>95</v>
      </c>
    </row>
    <row r="496" spans="1:12" x14ac:dyDescent="0.35">
      <c r="A496" t="s">
        <v>12</v>
      </c>
      <c r="B496" t="s">
        <v>94</v>
      </c>
      <c r="C496" t="s">
        <v>44</v>
      </c>
      <c r="D496">
        <v>3.35</v>
      </c>
      <c r="E496">
        <v>866</v>
      </c>
      <c r="G496">
        <v>1806.97</v>
      </c>
      <c r="H496">
        <v>14058.77</v>
      </c>
      <c r="I496">
        <v>5327</v>
      </c>
      <c r="K496">
        <v>2017</v>
      </c>
      <c r="L496" t="s">
        <v>95</v>
      </c>
    </row>
    <row r="497" spans="1:12" x14ac:dyDescent="0.35">
      <c r="A497" t="s">
        <v>12</v>
      </c>
      <c r="B497" t="s">
        <v>94</v>
      </c>
      <c r="C497" t="s">
        <v>50</v>
      </c>
      <c r="D497">
        <v>4.91</v>
      </c>
      <c r="E497">
        <v>4501</v>
      </c>
      <c r="F497">
        <v>5.2</v>
      </c>
      <c r="G497">
        <v>4934.8</v>
      </c>
      <c r="H497">
        <v>169419.03</v>
      </c>
      <c r="I497">
        <v>20218</v>
      </c>
      <c r="K497">
        <v>2017</v>
      </c>
      <c r="L497" t="s">
        <v>95</v>
      </c>
    </row>
    <row r="498" spans="1:12" x14ac:dyDescent="0.35">
      <c r="A498" t="s">
        <v>12</v>
      </c>
      <c r="B498" t="s">
        <v>94</v>
      </c>
      <c r="C498" t="s">
        <v>41</v>
      </c>
      <c r="D498">
        <v>8.65</v>
      </c>
      <c r="E498">
        <v>284</v>
      </c>
      <c r="F498">
        <v>3.57</v>
      </c>
      <c r="G498">
        <v>111.62</v>
      </c>
      <c r="H498">
        <v>192.63</v>
      </c>
      <c r="I498">
        <v>1162</v>
      </c>
      <c r="K498">
        <v>2017</v>
      </c>
      <c r="L498" t="s">
        <v>95</v>
      </c>
    </row>
    <row r="499" spans="1:12" x14ac:dyDescent="0.35">
      <c r="A499" t="s">
        <v>12</v>
      </c>
      <c r="B499" t="s">
        <v>94</v>
      </c>
      <c r="C499" t="s">
        <v>58</v>
      </c>
      <c r="D499">
        <v>7</v>
      </c>
      <c r="E499">
        <v>1258</v>
      </c>
      <c r="F499">
        <v>4.62</v>
      </c>
      <c r="G499">
        <v>1551.25</v>
      </c>
      <c r="H499">
        <v>1481.9</v>
      </c>
      <c r="I499">
        <v>4098</v>
      </c>
      <c r="K499">
        <v>2017</v>
      </c>
      <c r="L499" t="s">
        <v>95</v>
      </c>
    </row>
    <row r="500" spans="1:12" x14ac:dyDescent="0.35">
      <c r="A500" t="s">
        <v>12</v>
      </c>
      <c r="B500" t="s">
        <v>94</v>
      </c>
      <c r="C500" t="s">
        <v>49</v>
      </c>
      <c r="D500">
        <v>6.59</v>
      </c>
      <c r="E500">
        <v>4999</v>
      </c>
      <c r="F500">
        <v>5.16</v>
      </c>
      <c r="G500">
        <v>8212.5</v>
      </c>
      <c r="H500">
        <v>184318</v>
      </c>
      <c r="I500">
        <v>23707</v>
      </c>
      <c r="K500">
        <v>2017</v>
      </c>
      <c r="L500" t="s">
        <v>95</v>
      </c>
    </row>
    <row r="501" spans="1:12" x14ac:dyDescent="0.35">
      <c r="A501" t="s">
        <v>12</v>
      </c>
      <c r="B501" t="s">
        <v>94</v>
      </c>
      <c r="C501" t="s">
        <v>46</v>
      </c>
      <c r="E501">
        <v>14</v>
      </c>
      <c r="G501">
        <v>0</v>
      </c>
      <c r="I501">
        <v>0</v>
      </c>
      <c r="K501">
        <v>2017</v>
      </c>
      <c r="L501" t="s">
        <v>95</v>
      </c>
    </row>
    <row r="502" spans="1:12" x14ac:dyDescent="0.35">
      <c r="A502" t="s">
        <v>12</v>
      </c>
      <c r="B502" t="s">
        <v>94</v>
      </c>
      <c r="C502" t="s">
        <v>56</v>
      </c>
      <c r="D502">
        <v>10.029999999999999</v>
      </c>
      <c r="E502">
        <v>219</v>
      </c>
      <c r="G502">
        <v>0</v>
      </c>
      <c r="H502">
        <v>90.09</v>
      </c>
      <c r="I502">
        <v>790</v>
      </c>
      <c r="K502">
        <v>2017</v>
      </c>
      <c r="L502" t="s">
        <v>95</v>
      </c>
    </row>
    <row r="503" spans="1:12" x14ac:dyDescent="0.35">
      <c r="A503" t="s">
        <v>12</v>
      </c>
      <c r="B503" t="s">
        <v>94</v>
      </c>
      <c r="C503" t="s">
        <v>48</v>
      </c>
      <c r="D503">
        <v>4.82</v>
      </c>
      <c r="E503">
        <v>443</v>
      </c>
      <c r="F503">
        <v>4.74</v>
      </c>
      <c r="G503">
        <v>70.89</v>
      </c>
      <c r="H503">
        <v>12154.49</v>
      </c>
      <c r="I503">
        <v>1582</v>
      </c>
      <c r="K503">
        <v>2017</v>
      </c>
      <c r="L503" t="s">
        <v>95</v>
      </c>
    </row>
    <row r="504" spans="1:12" x14ac:dyDescent="0.35">
      <c r="A504" t="s">
        <v>12</v>
      </c>
      <c r="B504" t="s">
        <v>94</v>
      </c>
      <c r="C504" t="s">
        <v>90</v>
      </c>
      <c r="D504">
        <v>9</v>
      </c>
      <c r="E504">
        <v>230</v>
      </c>
      <c r="F504">
        <v>5.72</v>
      </c>
      <c r="G504">
        <v>93.95</v>
      </c>
      <c r="H504">
        <v>103.72</v>
      </c>
      <c r="I504">
        <v>567</v>
      </c>
      <c r="K504">
        <v>2017</v>
      </c>
      <c r="L504" t="s">
        <v>95</v>
      </c>
    </row>
    <row r="505" spans="1:12" x14ac:dyDescent="0.35">
      <c r="A505" t="s">
        <v>12</v>
      </c>
      <c r="B505" t="s">
        <v>94</v>
      </c>
      <c r="C505" t="s">
        <v>39</v>
      </c>
      <c r="D505">
        <v>9.7899999999999991</v>
      </c>
      <c r="E505">
        <v>3661</v>
      </c>
      <c r="F505">
        <v>2.67</v>
      </c>
      <c r="G505">
        <v>9563</v>
      </c>
      <c r="H505">
        <v>63816</v>
      </c>
      <c r="I505">
        <v>30971</v>
      </c>
      <c r="K505">
        <v>2017</v>
      </c>
      <c r="L505" t="s">
        <v>95</v>
      </c>
    </row>
    <row r="506" spans="1:12" x14ac:dyDescent="0.35">
      <c r="A506" t="s">
        <v>12</v>
      </c>
      <c r="B506" t="s">
        <v>94</v>
      </c>
      <c r="C506" t="s">
        <v>57</v>
      </c>
      <c r="D506">
        <v>8</v>
      </c>
      <c r="E506">
        <v>1142</v>
      </c>
      <c r="F506">
        <v>4.68</v>
      </c>
      <c r="G506">
        <v>0.28000000000000003</v>
      </c>
      <c r="H506">
        <v>1300</v>
      </c>
      <c r="I506">
        <v>4149</v>
      </c>
      <c r="K506">
        <v>2017</v>
      </c>
      <c r="L506" t="s">
        <v>95</v>
      </c>
    </row>
    <row r="507" spans="1:12" x14ac:dyDescent="0.35">
      <c r="A507" t="s">
        <v>12</v>
      </c>
      <c r="B507" t="s">
        <v>94</v>
      </c>
      <c r="C507" t="s">
        <v>21</v>
      </c>
      <c r="D507">
        <v>6.02</v>
      </c>
      <c r="E507">
        <v>1167</v>
      </c>
      <c r="F507">
        <v>5.23</v>
      </c>
      <c r="G507">
        <v>265.22000000000003</v>
      </c>
      <c r="H507">
        <v>76844.09</v>
      </c>
      <c r="I507">
        <v>5910</v>
      </c>
      <c r="K507">
        <v>2017</v>
      </c>
      <c r="L507" t="s">
        <v>95</v>
      </c>
    </row>
    <row r="508" spans="1:12" x14ac:dyDescent="0.35">
      <c r="A508" t="s">
        <v>12</v>
      </c>
      <c r="B508" t="s">
        <v>94</v>
      </c>
      <c r="C508" t="s">
        <v>33</v>
      </c>
      <c r="D508">
        <v>5.08</v>
      </c>
      <c r="E508">
        <v>550</v>
      </c>
      <c r="F508">
        <v>3.74</v>
      </c>
      <c r="G508">
        <v>568.1</v>
      </c>
      <c r="H508">
        <v>13414.4</v>
      </c>
      <c r="I508">
        <v>1917</v>
      </c>
      <c r="K508">
        <v>2017</v>
      </c>
      <c r="L508" t="s">
        <v>95</v>
      </c>
    </row>
    <row r="509" spans="1:12" x14ac:dyDescent="0.35">
      <c r="A509" t="s">
        <v>12</v>
      </c>
      <c r="B509" t="s">
        <v>94</v>
      </c>
      <c r="C509" t="s">
        <v>51</v>
      </c>
      <c r="D509">
        <v>5.43</v>
      </c>
      <c r="E509">
        <v>5444</v>
      </c>
      <c r="F509">
        <v>5.0999999999999996</v>
      </c>
      <c r="G509">
        <v>3420.77</v>
      </c>
      <c r="H509">
        <v>303055.69</v>
      </c>
      <c r="I509">
        <v>16565</v>
      </c>
      <c r="K509">
        <v>2017</v>
      </c>
      <c r="L509" t="s">
        <v>95</v>
      </c>
    </row>
    <row r="510" spans="1:12" x14ac:dyDescent="0.35">
      <c r="A510" t="s">
        <v>12</v>
      </c>
      <c r="B510" t="s">
        <v>94</v>
      </c>
      <c r="C510" t="s">
        <v>71</v>
      </c>
      <c r="D510">
        <v>6.55</v>
      </c>
      <c r="E510">
        <v>129</v>
      </c>
      <c r="F510">
        <v>3.8</v>
      </c>
      <c r="G510">
        <v>231.8</v>
      </c>
      <c r="H510">
        <v>3120.47</v>
      </c>
      <c r="I510">
        <v>881</v>
      </c>
      <c r="K510">
        <v>2017</v>
      </c>
      <c r="L510" t="s">
        <v>95</v>
      </c>
    </row>
    <row r="511" spans="1:12" x14ac:dyDescent="0.35">
      <c r="A511" t="s">
        <v>12</v>
      </c>
      <c r="B511" t="s">
        <v>94</v>
      </c>
      <c r="C511" t="s">
        <v>37</v>
      </c>
      <c r="D511">
        <v>6.28</v>
      </c>
      <c r="E511">
        <v>6394</v>
      </c>
      <c r="F511">
        <v>3.74</v>
      </c>
      <c r="G511">
        <v>16425</v>
      </c>
      <c r="H511">
        <v>171896.55</v>
      </c>
      <c r="I511">
        <v>34114</v>
      </c>
      <c r="K511">
        <v>2017</v>
      </c>
      <c r="L511" t="s">
        <v>95</v>
      </c>
    </row>
    <row r="512" spans="1:12" x14ac:dyDescent="0.35">
      <c r="A512" t="s">
        <v>12</v>
      </c>
      <c r="B512" t="s">
        <v>94</v>
      </c>
      <c r="C512" t="s">
        <v>17</v>
      </c>
      <c r="D512">
        <v>5.65</v>
      </c>
      <c r="E512">
        <v>796</v>
      </c>
      <c r="F512">
        <v>4.0199999999999996</v>
      </c>
      <c r="G512">
        <v>172</v>
      </c>
      <c r="H512">
        <v>21356.5</v>
      </c>
      <c r="I512">
        <v>2316</v>
      </c>
      <c r="K512">
        <v>2017</v>
      </c>
      <c r="L512" t="s">
        <v>95</v>
      </c>
    </row>
    <row r="513" spans="1:12" x14ac:dyDescent="0.35">
      <c r="A513" t="s">
        <v>12</v>
      </c>
      <c r="B513" t="s">
        <v>96</v>
      </c>
      <c r="C513" t="s">
        <v>50</v>
      </c>
      <c r="D513">
        <v>4.63</v>
      </c>
      <c r="E513">
        <v>4789</v>
      </c>
      <c r="F513">
        <v>5.25</v>
      </c>
      <c r="G513">
        <v>4945.75</v>
      </c>
      <c r="H513">
        <v>182143.42</v>
      </c>
      <c r="I513">
        <v>20574</v>
      </c>
      <c r="K513">
        <v>2018</v>
      </c>
      <c r="L513" t="s">
        <v>97</v>
      </c>
    </row>
    <row r="514" spans="1:12" x14ac:dyDescent="0.35">
      <c r="A514" t="s">
        <v>12</v>
      </c>
      <c r="B514" t="s">
        <v>96</v>
      </c>
      <c r="C514" t="s">
        <v>65</v>
      </c>
      <c r="D514">
        <v>7.66</v>
      </c>
      <c r="E514">
        <v>10481</v>
      </c>
      <c r="G514">
        <v>35605.75</v>
      </c>
      <c r="H514">
        <v>474111.04</v>
      </c>
      <c r="I514">
        <v>50656</v>
      </c>
      <c r="K514">
        <v>2018</v>
      </c>
      <c r="L514" t="s">
        <v>97</v>
      </c>
    </row>
    <row r="515" spans="1:12" x14ac:dyDescent="0.35">
      <c r="A515" t="s">
        <v>12</v>
      </c>
      <c r="B515" t="s">
        <v>96</v>
      </c>
      <c r="C515" t="s">
        <v>71</v>
      </c>
      <c r="D515">
        <v>7.11</v>
      </c>
      <c r="E515">
        <v>129</v>
      </c>
      <c r="F515">
        <v>3.77</v>
      </c>
      <c r="G515">
        <v>190.03</v>
      </c>
      <c r="H515">
        <v>2796.07</v>
      </c>
      <c r="I515">
        <v>815</v>
      </c>
      <c r="K515">
        <v>2018</v>
      </c>
      <c r="L515" t="s">
        <v>97</v>
      </c>
    </row>
    <row r="516" spans="1:12" x14ac:dyDescent="0.35">
      <c r="A516" t="s">
        <v>12</v>
      </c>
      <c r="B516" t="s">
        <v>96</v>
      </c>
      <c r="C516" t="s">
        <v>46</v>
      </c>
      <c r="E516">
        <v>10</v>
      </c>
      <c r="G516">
        <v>0</v>
      </c>
      <c r="H516">
        <v>0</v>
      </c>
      <c r="K516">
        <v>2018</v>
      </c>
      <c r="L516" t="s">
        <v>97</v>
      </c>
    </row>
    <row r="517" spans="1:12" x14ac:dyDescent="0.35">
      <c r="A517" t="s">
        <v>12</v>
      </c>
      <c r="B517" t="s">
        <v>96</v>
      </c>
      <c r="C517" t="s">
        <v>47</v>
      </c>
      <c r="D517">
        <v>5.7</v>
      </c>
      <c r="E517">
        <v>11880</v>
      </c>
      <c r="F517">
        <v>5.23</v>
      </c>
      <c r="G517">
        <v>6015.69</v>
      </c>
      <c r="H517">
        <v>472042</v>
      </c>
      <c r="I517">
        <v>21156</v>
      </c>
      <c r="K517">
        <v>2018</v>
      </c>
      <c r="L517" t="s">
        <v>97</v>
      </c>
    </row>
    <row r="518" spans="1:12" x14ac:dyDescent="0.35">
      <c r="A518" t="s">
        <v>12</v>
      </c>
      <c r="B518" t="s">
        <v>96</v>
      </c>
      <c r="C518" t="s">
        <v>55</v>
      </c>
      <c r="D518">
        <v>7.5</v>
      </c>
      <c r="E518">
        <v>1338</v>
      </c>
      <c r="G518">
        <v>377.83</v>
      </c>
      <c r="H518">
        <v>1438.26</v>
      </c>
      <c r="I518">
        <v>3450</v>
      </c>
      <c r="K518">
        <v>2018</v>
      </c>
      <c r="L518" t="s">
        <v>97</v>
      </c>
    </row>
    <row r="519" spans="1:12" x14ac:dyDescent="0.35">
      <c r="A519" t="s">
        <v>12</v>
      </c>
      <c r="B519" t="s">
        <v>96</v>
      </c>
      <c r="C519" t="s">
        <v>14</v>
      </c>
      <c r="E519">
        <v>391</v>
      </c>
      <c r="F519">
        <v>2.95</v>
      </c>
      <c r="G519">
        <v>518.41</v>
      </c>
      <c r="H519">
        <v>222.3</v>
      </c>
      <c r="I519">
        <v>1116</v>
      </c>
      <c r="K519">
        <v>2018</v>
      </c>
      <c r="L519" t="s">
        <v>97</v>
      </c>
    </row>
    <row r="520" spans="1:12" x14ac:dyDescent="0.35">
      <c r="A520" t="s">
        <v>12</v>
      </c>
      <c r="B520" t="s">
        <v>96</v>
      </c>
      <c r="C520" t="s">
        <v>73</v>
      </c>
      <c r="D520">
        <v>4.57</v>
      </c>
      <c r="E520">
        <v>1187</v>
      </c>
      <c r="F520">
        <v>1.94</v>
      </c>
      <c r="G520">
        <v>1023</v>
      </c>
      <c r="H520">
        <v>8898</v>
      </c>
      <c r="I520">
        <v>4018</v>
      </c>
      <c r="K520">
        <v>2018</v>
      </c>
      <c r="L520" t="s">
        <v>97</v>
      </c>
    </row>
    <row r="521" spans="1:12" x14ac:dyDescent="0.35">
      <c r="A521" t="s">
        <v>12</v>
      </c>
      <c r="B521" t="s">
        <v>96</v>
      </c>
      <c r="C521" t="s">
        <v>90</v>
      </c>
      <c r="D521">
        <v>10</v>
      </c>
      <c r="E521">
        <v>230</v>
      </c>
      <c r="F521">
        <v>5.59</v>
      </c>
      <c r="G521">
        <v>81.77</v>
      </c>
      <c r="H521">
        <v>106.79</v>
      </c>
      <c r="I521">
        <v>586</v>
      </c>
      <c r="K521">
        <v>2018</v>
      </c>
      <c r="L521" t="s">
        <v>97</v>
      </c>
    </row>
    <row r="522" spans="1:12" x14ac:dyDescent="0.35">
      <c r="A522" t="s">
        <v>12</v>
      </c>
      <c r="B522" t="s">
        <v>96</v>
      </c>
      <c r="C522" t="s">
        <v>26</v>
      </c>
      <c r="D522">
        <v>4.1900000000000004</v>
      </c>
      <c r="E522">
        <v>548</v>
      </c>
      <c r="F522">
        <v>4.07</v>
      </c>
      <c r="G522">
        <v>387.6</v>
      </c>
      <c r="H522">
        <v>11627.98</v>
      </c>
      <c r="I522">
        <v>2153</v>
      </c>
      <c r="K522">
        <v>2018</v>
      </c>
      <c r="L522" t="s">
        <v>97</v>
      </c>
    </row>
    <row r="523" spans="1:12" x14ac:dyDescent="0.35">
      <c r="A523" t="s">
        <v>12</v>
      </c>
      <c r="B523" t="s">
        <v>96</v>
      </c>
      <c r="C523" t="s">
        <v>19</v>
      </c>
      <c r="D523">
        <v>8.67</v>
      </c>
      <c r="E523">
        <v>3688</v>
      </c>
      <c r="F523">
        <v>4.51</v>
      </c>
      <c r="G523">
        <v>12980</v>
      </c>
      <c r="H523">
        <v>135246</v>
      </c>
      <c r="I523">
        <v>22962</v>
      </c>
      <c r="K523">
        <v>2018</v>
      </c>
      <c r="L523" t="s">
        <v>97</v>
      </c>
    </row>
    <row r="524" spans="1:12" x14ac:dyDescent="0.35">
      <c r="A524" t="s">
        <v>12</v>
      </c>
      <c r="B524" t="s">
        <v>96</v>
      </c>
      <c r="C524" t="s">
        <v>45</v>
      </c>
      <c r="D524">
        <v>8.08</v>
      </c>
      <c r="E524">
        <v>2058</v>
      </c>
      <c r="F524">
        <v>3.31</v>
      </c>
      <c r="G524">
        <v>3725.08</v>
      </c>
      <c r="H524">
        <v>43041.5</v>
      </c>
      <c r="I524">
        <v>9587</v>
      </c>
      <c r="K524">
        <v>2018</v>
      </c>
      <c r="L524" t="s">
        <v>97</v>
      </c>
    </row>
    <row r="525" spans="1:12" x14ac:dyDescent="0.35">
      <c r="A525" t="s">
        <v>12</v>
      </c>
      <c r="B525" t="s">
        <v>96</v>
      </c>
      <c r="C525" t="s">
        <v>58</v>
      </c>
      <c r="D525">
        <v>7</v>
      </c>
      <c r="E525">
        <v>1395</v>
      </c>
      <c r="F525">
        <v>4.5999999999999996</v>
      </c>
      <c r="G525">
        <v>1642.5</v>
      </c>
      <c r="H525">
        <v>1533</v>
      </c>
      <c r="I525">
        <v>3850</v>
      </c>
      <c r="K525">
        <v>2018</v>
      </c>
      <c r="L525" t="s">
        <v>97</v>
      </c>
    </row>
    <row r="526" spans="1:12" x14ac:dyDescent="0.35">
      <c r="A526" t="s">
        <v>12</v>
      </c>
      <c r="B526" t="s">
        <v>96</v>
      </c>
      <c r="C526" t="s">
        <v>21</v>
      </c>
      <c r="D526">
        <v>6.03</v>
      </c>
      <c r="E526">
        <v>1149</v>
      </c>
      <c r="F526">
        <v>5.17</v>
      </c>
      <c r="G526">
        <v>229.14</v>
      </c>
      <c r="H526">
        <v>61405.19</v>
      </c>
      <c r="I526">
        <v>5495</v>
      </c>
      <c r="K526">
        <v>2018</v>
      </c>
      <c r="L526" t="s">
        <v>97</v>
      </c>
    </row>
    <row r="527" spans="1:12" x14ac:dyDescent="0.35">
      <c r="A527" t="s">
        <v>12</v>
      </c>
      <c r="B527" t="s">
        <v>96</v>
      </c>
      <c r="C527" t="s">
        <v>25</v>
      </c>
      <c r="D527">
        <v>6.86</v>
      </c>
      <c r="E527">
        <v>3066</v>
      </c>
      <c r="F527">
        <v>5.1100000000000003</v>
      </c>
      <c r="G527">
        <v>7601.93</v>
      </c>
      <c r="H527">
        <v>209756</v>
      </c>
      <c r="I527">
        <v>17709</v>
      </c>
      <c r="K527">
        <v>2018</v>
      </c>
      <c r="L527" t="s">
        <v>97</v>
      </c>
    </row>
    <row r="528" spans="1:12" x14ac:dyDescent="0.35">
      <c r="A528" t="s">
        <v>12</v>
      </c>
      <c r="B528" t="s">
        <v>96</v>
      </c>
      <c r="C528" t="s">
        <v>93</v>
      </c>
      <c r="E528">
        <v>50</v>
      </c>
      <c r="G528">
        <v>46.07</v>
      </c>
      <c r="H528">
        <v>33.799999999999997</v>
      </c>
      <c r="I528">
        <v>315</v>
      </c>
      <c r="K528">
        <v>2018</v>
      </c>
      <c r="L528" t="s">
        <v>97</v>
      </c>
    </row>
    <row r="529" spans="1:12" x14ac:dyDescent="0.35">
      <c r="A529" t="s">
        <v>12</v>
      </c>
      <c r="B529" t="s">
        <v>96</v>
      </c>
      <c r="C529" t="s">
        <v>29</v>
      </c>
      <c r="D529">
        <v>7.06</v>
      </c>
      <c r="E529">
        <v>3589</v>
      </c>
      <c r="F529">
        <v>5.73</v>
      </c>
      <c r="G529">
        <v>8859.0300000000007</v>
      </c>
      <c r="H529">
        <v>231117.27</v>
      </c>
      <c r="I529">
        <v>21985</v>
      </c>
      <c r="K529">
        <v>2018</v>
      </c>
      <c r="L529" t="s">
        <v>97</v>
      </c>
    </row>
    <row r="530" spans="1:12" x14ac:dyDescent="0.35">
      <c r="A530" t="s">
        <v>12</v>
      </c>
      <c r="B530" t="s">
        <v>96</v>
      </c>
      <c r="C530" t="s">
        <v>34</v>
      </c>
      <c r="D530">
        <v>7.46</v>
      </c>
      <c r="E530">
        <v>2262</v>
      </c>
      <c r="F530">
        <v>5.31</v>
      </c>
      <c r="G530">
        <v>5059.4799999999996</v>
      </c>
      <c r="H530">
        <v>174056.37</v>
      </c>
      <c r="I530">
        <v>14266</v>
      </c>
      <c r="K530">
        <v>2018</v>
      </c>
      <c r="L530" t="s">
        <v>97</v>
      </c>
    </row>
    <row r="531" spans="1:12" x14ac:dyDescent="0.35">
      <c r="A531" t="s">
        <v>12</v>
      </c>
      <c r="B531" t="s">
        <v>96</v>
      </c>
      <c r="C531" t="s">
        <v>38</v>
      </c>
      <c r="D531">
        <v>7.5</v>
      </c>
      <c r="E531">
        <v>2497</v>
      </c>
      <c r="F531">
        <v>5.64</v>
      </c>
      <c r="G531">
        <v>4622.79</v>
      </c>
      <c r="H531">
        <v>151731.06</v>
      </c>
      <c r="I531">
        <v>12743</v>
      </c>
      <c r="K531">
        <v>2018</v>
      </c>
      <c r="L531" t="s">
        <v>97</v>
      </c>
    </row>
    <row r="532" spans="1:12" x14ac:dyDescent="0.35">
      <c r="A532" t="s">
        <v>12</v>
      </c>
      <c r="B532" t="s">
        <v>96</v>
      </c>
      <c r="C532" t="s">
        <v>61</v>
      </c>
      <c r="D532">
        <v>5</v>
      </c>
      <c r="E532">
        <v>473</v>
      </c>
      <c r="F532">
        <v>2.0699999999999998</v>
      </c>
      <c r="G532">
        <v>644.85</v>
      </c>
      <c r="H532">
        <v>0</v>
      </c>
      <c r="I532">
        <v>2898</v>
      </c>
      <c r="K532">
        <v>2018</v>
      </c>
      <c r="L532" t="s">
        <v>97</v>
      </c>
    </row>
    <row r="533" spans="1:12" x14ac:dyDescent="0.35">
      <c r="A533" t="s">
        <v>12</v>
      </c>
      <c r="B533" t="s">
        <v>96</v>
      </c>
      <c r="C533" t="s">
        <v>42</v>
      </c>
      <c r="D533">
        <v>6.96</v>
      </c>
      <c r="E533">
        <v>3437</v>
      </c>
      <c r="F533">
        <v>5.6</v>
      </c>
      <c r="G533">
        <v>7061.16</v>
      </c>
      <c r="H533">
        <v>251291</v>
      </c>
      <c r="I533">
        <v>22412</v>
      </c>
      <c r="K533">
        <v>2018</v>
      </c>
      <c r="L533" t="s">
        <v>97</v>
      </c>
    </row>
    <row r="534" spans="1:12" x14ac:dyDescent="0.35">
      <c r="A534" t="s">
        <v>12</v>
      </c>
      <c r="B534" t="s">
        <v>96</v>
      </c>
      <c r="C534" t="s">
        <v>40</v>
      </c>
      <c r="D534">
        <v>5.37</v>
      </c>
      <c r="E534">
        <v>1284</v>
      </c>
      <c r="F534">
        <v>3.79</v>
      </c>
      <c r="G534">
        <v>185.31</v>
      </c>
      <c r="H534">
        <v>7064.17</v>
      </c>
      <c r="I534">
        <v>3484</v>
      </c>
      <c r="K534">
        <v>2018</v>
      </c>
      <c r="L534" t="s">
        <v>97</v>
      </c>
    </row>
    <row r="535" spans="1:12" x14ac:dyDescent="0.35">
      <c r="A535" t="s">
        <v>12</v>
      </c>
      <c r="B535" t="s">
        <v>96</v>
      </c>
      <c r="C535" t="s">
        <v>76</v>
      </c>
      <c r="D535">
        <v>7.09</v>
      </c>
      <c r="E535">
        <v>1775</v>
      </c>
      <c r="F535">
        <v>5.19</v>
      </c>
      <c r="G535">
        <v>5578.28</v>
      </c>
      <c r="H535">
        <v>112541.1</v>
      </c>
      <c r="I535">
        <v>11085</v>
      </c>
      <c r="K535">
        <v>2018</v>
      </c>
      <c r="L535" t="s">
        <v>97</v>
      </c>
    </row>
    <row r="536" spans="1:12" x14ac:dyDescent="0.35">
      <c r="A536" t="s">
        <v>12</v>
      </c>
      <c r="B536" t="s">
        <v>96</v>
      </c>
      <c r="C536" t="s">
        <v>41</v>
      </c>
      <c r="D536">
        <v>9.14</v>
      </c>
      <c r="E536">
        <v>284</v>
      </c>
      <c r="F536">
        <v>3.65</v>
      </c>
      <c r="G536">
        <v>121.12</v>
      </c>
      <c r="H536">
        <v>214.89</v>
      </c>
      <c r="I536">
        <v>1166</v>
      </c>
      <c r="K536">
        <v>2018</v>
      </c>
      <c r="L536" t="s">
        <v>97</v>
      </c>
    </row>
    <row r="537" spans="1:12" x14ac:dyDescent="0.35">
      <c r="A537" t="s">
        <v>12</v>
      </c>
      <c r="B537" t="s">
        <v>96</v>
      </c>
      <c r="C537" t="s">
        <v>43</v>
      </c>
      <c r="D537">
        <v>5.92</v>
      </c>
      <c r="E537">
        <v>11837</v>
      </c>
      <c r="F537">
        <v>5.2</v>
      </c>
      <c r="G537">
        <v>26020.85</v>
      </c>
      <c r="H537">
        <v>584846.86</v>
      </c>
      <c r="I537">
        <v>53263</v>
      </c>
      <c r="K537">
        <v>2018</v>
      </c>
      <c r="L537" t="s">
        <v>97</v>
      </c>
    </row>
    <row r="538" spans="1:12" x14ac:dyDescent="0.35">
      <c r="A538" t="s">
        <v>12</v>
      </c>
      <c r="B538" t="s">
        <v>96</v>
      </c>
      <c r="C538" t="s">
        <v>56</v>
      </c>
      <c r="D538">
        <v>12.14</v>
      </c>
      <c r="E538">
        <v>237</v>
      </c>
      <c r="G538">
        <v>0</v>
      </c>
      <c r="H538">
        <v>93.13</v>
      </c>
      <c r="I538">
        <v>791</v>
      </c>
      <c r="K538">
        <v>2018</v>
      </c>
      <c r="L538" t="s">
        <v>97</v>
      </c>
    </row>
    <row r="539" spans="1:12" x14ac:dyDescent="0.35">
      <c r="A539" t="s">
        <v>12</v>
      </c>
      <c r="B539" t="s">
        <v>96</v>
      </c>
      <c r="C539" t="s">
        <v>77</v>
      </c>
      <c r="D539">
        <v>0</v>
      </c>
      <c r="E539">
        <v>1679</v>
      </c>
      <c r="F539">
        <v>0</v>
      </c>
      <c r="G539">
        <v>4469.3100000000004</v>
      </c>
      <c r="H539">
        <v>65882.259999999995</v>
      </c>
      <c r="I539">
        <v>0</v>
      </c>
      <c r="K539">
        <v>2018</v>
      </c>
      <c r="L539" t="s">
        <v>97</v>
      </c>
    </row>
    <row r="540" spans="1:12" x14ac:dyDescent="0.35">
      <c r="A540" t="s">
        <v>12</v>
      </c>
      <c r="B540" t="s">
        <v>96</v>
      </c>
      <c r="C540" t="s">
        <v>33</v>
      </c>
      <c r="D540">
        <v>4.74</v>
      </c>
      <c r="E540">
        <v>534</v>
      </c>
      <c r="F540">
        <v>3.86</v>
      </c>
      <c r="G540">
        <v>554.79999999999995</v>
      </c>
      <c r="H540">
        <v>12149</v>
      </c>
      <c r="I540">
        <v>1965</v>
      </c>
      <c r="K540">
        <v>2018</v>
      </c>
      <c r="L540" t="s">
        <v>97</v>
      </c>
    </row>
    <row r="541" spans="1:12" x14ac:dyDescent="0.35">
      <c r="A541" t="s">
        <v>12</v>
      </c>
      <c r="B541" t="s">
        <v>96</v>
      </c>
      <c r="C541" t="s">
        <v>30</v>
      </c>
      <c r="D541">
        <v>5.1100000000000003</v>
      </c>
      <c r="E541">
        <v>3951</v>
      </c>
      <c r="F541">
        <v>4.7300000000000004</v>
      </c>
      <c r="G541">
        <v>4286.16</v>
      </c>
      <c r="H541">
        <v>142586</v>
      </c>
      <c r="I541">
        <v>19663</v>
      </c>
      <c r="K541">
        <v>2018</v>
      </c>
      <c r="L541" t="s">
        <v>97</v>
      </c>
    </row>
    <row r="542" spans="1:12" x14ac:dyDescent="0.35">
      <c r="A542" t="s">
        <v>12</v>
      </c>
      <c r="B542" t="s">
        <v>96</v>
      </c>
      <c r="C542" t="s">
        <v>18</v>
      </c>
      <c r="D542">
        <v>8</v>
      </c>
      <c r="E542">
        <v>37</v>
      </c>
      <c r="F542">
        <v>3.2</v>
      </c>
      <c r="G542">
        <v>0.66</v>
      </c>
      <c r="H542">
        <v>153.43</v>
      </c>
      <c r="I542">
        <v>262</v>
      </c>
      <c r="K542">
        <v>2018</v>
      </c>
      <c r="L542" t="s">
        <v>97</v>
      </c>
    </row>
    <row r="543" spans="1:12" x14ac:dyDescent="0.35">
      <c r="A543" t="s">
        <v>12</v>
      </c>
      <c r="B543" t="s">
        <v>96</v>
      </c>
      <c r="C543" t="s">
        <v>74</v>
      </c>
      <c r="D543">
        <v>9</v>
      </c>
      <c r="E543">
        <v>270</v>
      </c>
      <c r="G543">
        <v>59.27</v>
      </c>
      <c r="H543">
        <v>77.44</v>
      </c>
      <c r="I543">
        <v>305</v>
      </c>
      <c r="K543">
        <v>2018</v>
      </c>
      <c r="L543" t="s">
        <v>97</v>
      </c>
    </row>
    <row r="544" spans="1:12" x14ac:dyDescent="0.35">
      <c r="A544" t="s">
        <v>12</v>
      </c>
      <c r="B544" t="s">
        <v>96</v>
      </c>
      <c r="C544" t="s">
        <v>16</v>
      </c>
      <c r="D544">
        <v>7.78</v>
      </c>
      <c r="E544">
        <v>250</v>
      </c>
      <c r="F544">
        <v>3.22</v>
      </c>
      <c r="G544">
        <v>5.72</v>
      </c>
      <c r="H544">
        <v>25.75</v>
      </c>
      <c r="I544">
        <v>1050</v>
      </c>
      <c r="K544">
        <v>2018</v>
      </c>
      <c r="L544" t="s">
        <v>97</v>
      </c>
    </row>
    <row r="545" spans="1:12" x14ac:dyDescent="0.35">
      <c r="A545" t="s">
        <v>12</v>
      </c>
      <c r="B545" t="s">
        <v>96</v>
      </c>
      <c r="C545" t="s">
        <v>37</v>
      </c>
      <c r="D545">
        <v>6.6</v>
      </c>
      <c r="E545">
        <v>6675</v>
      </c>
      <c r="F545">
        <v>3.74</v>
      </c>
      <c r="G545">
        <v>12775</v>
      </c>
      <c r="H545">
        <v>174033.58</v>
      </c>
      <c r="I545">
        <v>33878</v>
      </c>
      <c r="K545">
        <v>2018</v>
      </c>
      <c r="L545" t="s">
        <v>97</v>
      </c>
    </row>
    <row r="546" spans="1:12" x14ac:dyDescent="0.35">
      <c r="A546" t="s">
        <v>12</v>
      </c>
      <c r="B546" t="s">
        <v>96</v>
      </c>
      <c r="C546" t="s">
        <v>36</v>
      </c>
      <c r="D546">
        <v>15</v>
      </c>
      <c r="E546">
        <v>579</v>
      </c>
      <c r="F546">
        <v>4.66</v>
      </c>
      <c r="G546">
        <v>266</v>
      </c>
      <c r="H546">
        <v>14812</v>
      </c>
      <c r="I546">
        <v>1090</v>
      </c>
      <c r="K546">
        <v>2018</v>
      </c>
      <c r="L546" t="s">
        <v>97</v>
      </c>
    </row>
    <row r="547" spans="1:12" x14ac:dyDescent="0.35">
      <c r="A547" t="s">
        <v>12</v>
      </c>
      <c r="B547" t="s">
        <v>96</v>
      </c>
      <c r="C547" t="s">
        <v>32</v>
      </c>
      <c r="D547">
        <v>9.1999999999999993</v>
      </c>
      <c r="E547">
        <v>3894</v>
      </c>
      <c r="G547">
        <v>11004.48</v>
      </c>
      <c r="H547">
        <v>104667.66</v>
      </c>
      <c r="I547">
        <v>24721</v>
      </c>
      <c r="K547">
        <v>2018</v>
      </c>
      <c r="L547" t="s">
        <v>97</v>
      </c>
    </row>
    <row r="548" spans="1:12" x14ac:dyDescent="0.35">
      <c r="A548" t="s">
        <v>12</v>
      </c>
      <c r="B548" t="s">
        <v>96</v>
      </c>
      <c r="C548" t="s">
        <v>59</v>
      </c>
      <c r="D548">
        <v>7</v>
      </c>
      <c r="E548">
        <v>476</v>
      </c>
      <c r="F548">
        <v>4.54</v>
      </c>
      <c r="G548">
        <v>547.5</v>
      </c>
      <c r="H548">
        <v>248.2</v>
      </c>
      <c r="I548">
        <v>2713</v>
      </c>
      <c r="K548">
        <v>2018</v>
      </c>
      <c r="L548" t="s">
        <v>97</v>
      </c>
    </row>
    <row r="549" spans="1:12" x14ac:dyDescent="0.35">
      <c r="A549" t="s">
        <v>12</v>
      </c>
      <c r="B549" t="s">
        <v>96</v>
      </c>
      <c r="C549" t="s">
        <v>31</v>
      </c>
      <c r="D549">
        <v>5.41</v>
      </c>
      <c r="E549">
        <v>8042</v>
      </c>
      <c r="F549">
        <v>5.38</v>
      </c>
      <c r="G549">
        <v>7436.94</v>
      </c>
      <c r="H549">
        <v>373846.57</v>
      </c>
      <c r="I549">
        <v>40148</v>
      </c>
      <c r="K549">
        <v>2018</v>
      </c>
      <c r="L549" t="s">
        <v>97</v>
      </c>
    </row>
    <row r="550" spans="1:12" x14ac:dyDescent="0.35">
      <c r="A550" t="s">
        <v>12</v>
      </c>
      <c r="B550" t="s">
        <v>96</v>
      </c>
      <c r="C550" t="s">
        <v>28</v>
      </c>
      <c r="D550">
        <v>5.65</v>
      </c>
      <c r="E550">
        <v>3216</v>
      </c>
      <c r="F550">
        <v>3.69</v>
      </c>
      <c r="G550">
        <v>0</v>
      </c>
      <c r="H550">
        <v>68500.710000000006</v>
      </c>
      <c r="I550">
        <v>10426</v>
      </c>
      <c r="K550">
        <v>2018</v>
      </c>
      <c r="L550" t="s">
        <v>97</v>
      </c>
    </row>
    <row r="551" spans="1:12" x14ac:dyDescent="0.35">
      <c r="A551" t="s">
        <v>12</v>
      </c>
      <c r="B551" t="s">
        <v>96</v>
      </c>
      <c r="C551" t="s">
        <v>27</v>
      </c>
      <c r="D551">
        <v>10</v>
      </c>
      <c r="E551">
        <v>512</v>
      </c>
      <c r="F551">
        <v>4.2300000000000004</v>
      </c>
      <c r="G551">
        <v>43.24</v>
      </c>
      <c r="H551">
        <v>4169.51</v>
      </c>
      <c r="I551">
        <v>2147</v>
      </c>
      <c r="K551">
        <v>2018</v>
      </c>
      <c r="L551" t="s">
        <v>97</v>
      </c>
    </row>
    <row r="552" spans="1:12" x14ac:dyDescent="0.35">
      <c r="A552" t="s">
        <v>12</v>
      </c>
      <c r="B552" t="s">
        <v>96</v>
      </c>
      <c r="C552" t="s">
        <v>60</v>
      </c>
      <c r="D552">
        <v>6.95</v>
      </c>
      <c r="E552">
        <v>120</v>
      </c>
      <c r="F552">
        <v>3.8</v>
      </c>
      <c r="G552">
        <v>12.22</v>
      </c>
      <c r="H552">
        <v>588.28</v>
      </c>
      <c r="I552">
        <v>1313</v>
      </c>
      <c r="K552">
        <v>2018</v>
      </c>
      <c r="L552" t="s">
        <v>97</v>
      </c>
    </row>
    <row r="553" spans="1:12" x14ac:dyDescent="0.35">
      <c r="A553" t="s">
        <v>12</v>
      </c>
      <c r="B553" t="s">
        <v>96</v>
      </c>
      <c r="C553" t="s">
        <v>24</v>
      </c>
      <c r="D553">
        <v>5.26</v>
      </c>
      <c r="E553">
        <v>8778</v>
      </c>
      <c r="F553">
        <v>4.87</v>
      </c>
      <c r="G553">
        <v>10986.09</v>
      </c>
      <c r="H553">
        <v>428313.81</v>
      </c>
      <c r="I553">
        <v>38604</v>
      </c>
      <c r="K553">
        <v>2018</v>
      </c>
      <c r="L553" t="s">
        <v>97</v>
      </c>
    </row>
    <row r="554" spans="1:12" x14ac:dyDescent="0.35">
      <c r="A554" t="s">
        <v>12</v>
      </c>
      <c r="B554" t="s">
        <v>96</v>
      </c>
      <c r="C554" t="s">
        <v>75</v>
      </c>
      <c r="D554">
        <v>9</v>
      </c>
      <c r="E554">
        <v>126</v>
      </c>
      <c r="F554">
        <v>4.4000000000000004</v>
      </c>
      <c r="G554">
        <v>96</v>
      </c>
      <c r="H554">
        <v>72</v>
      </c>
      <c r="I554">
        <v>445</v>
      </c>
      <c r="K554">
        <v>2018</v>
      </c>
      <c r="L554" t="s">
        <v>97</v>
      </c>
    </row>
    <row r="555" spans="1:12" x14ac:dyDescent="0.35">
      <c r="A555" t="s">
        <v>12</v>
      </c>
      <c r="B555" t="s">
        <v>96</v>
      </c>
      <c r="C555" t="s">
        <v>23</v>
      </c>
      <c r="D555">
        <v>7.09</v>
      </c>
      <c r="E555">
        <v>5679</v>
      </c>
      <c r="F555">
        <v>4.12</v>
      </c>
      <c r="G555">
        <v>9524</v>
      </c>
      <c r="H555">
        <v>282848</v>
      </c>
      <c r="I555">
        <v>33145</v>
      </c>
      <c r="K555">
        <v>2018</v>
      </c>
      <c r="L555" t="s">
        <v>97</v>
      </c>
    </row>
    <row r="556" spans="1:12" x14ac:dyDescent="0.35">
      <c r="A556" t="s">
        <v>12</v>
      </c>
      <c r="B556" t="s">
        <v>96</v>
      </c>
      <c r="C556" t="s">
        <v>22</v>
      </c>
      <c r="D556">
        <v>7.1</v>
      </c>
      <c r="E556">
        <v>18796</v>
      </c>
      <c r="F556">
        <v>4.57</v>
      </c>
      <c r="G556">
        <v>24078.48</v>
      </c>
      <c r="H556">
        <v>610514</v>
      </c>
      <c r="I556">
        <v>101879</v>
      </c>
      <c r="K556">
        <v>2018</v>
      </c>
      <c r="L556" t="s">
        <v>97</v>
      </c>
    </row>
    <row r="557" spans="1:12" x14ac:dyDescent="0.35">
      <c r="A557" t="s">
        <v>12</v>
      </c>
      <c r="B557" t="s">
        <v>96</v>
      </c>
      <c r="C557" t="s">
        <v>92</v>
      </c>
      <c r="D557">
        <v>6.5</v>
      </c>
      <c r="E557">
        <v>253</v>
      </c>
      <c r="F557">
        <v>2.1</v>
      </c>
      <c r="G557">
        <v>519.75</v>
      </c>
      <c r="H557">
        <v>161.07</v>
      </c>
      <c r="I557">
        <v>0</v>
      </c>
      <c r="K557">
        <v>2018</v>
      </c>
      <c r="L557" t="s">
        <v>97</v>
      </c>
    </row>
    <row r="558" spans="1:12" x14ac:dyDescent="0.35">
      <c r="A558" t="s">
        <v>12</v>
      </c>
      <c r="B558" t="s">
        <v>96</v>
      </c>
      <c r="C558" t="s">
        <v>20</v>
      </c>
      <c r="D558">
        <v>8</v>
      </c>
      <c r="E558">
        <v>62</v>
      </c>
      <c r="F558">
        <v>5.01</v>
      </c>
      <c r="G558">
        <v>2.52</v>
      </c>
      <c r="H558">
        <v>440.78</v>
      </c>
      <c r="I558">
        <v>221</v>
      </c>
      <c r="K558">
        <v>2018</v>
      </c>
      <c r="L558" t="s">
        <v>97</v>
      </c>
    </row>
    <row r="559" spans="1:12" x14ac:dyDescent="0.35">
      <c r="A559" t="s">
        <v>12</v>
      </c>
      <c r="B559" t="s">
        <v>96</v>
      </c>
      <c r="C559" t="s">
        <v>52</v>
      </c>
      <c r="D559">
        <v>6.48</v>
      </c>
      <c r="E559">
        <v>905</v>
      </c>
      <c r="F559">
        <v>4.26</v>
      </c>
      <c r="G559">
        <v>0</v>
      </c>
      <c r="H559">
        <v>22964.26</v>
      </c>
      <c r="I559">
        <v>3300</v>
      </c>
      <c r="K559">
        <v>2018</v>
      </c>
      <c r="L559" t="s">
        <v>97</v>
      </c>
    </row>
    <row r="560" spans="1:12" x14ac:dyDescent="0.35">
      <c r="A560" t="s">
        <v>12</v>
      </c>
      <c r="B560" t="s">
        <v>96</v>
      </c>
      <c r="C560" t="s">
        <v>17</v>
      </c>
      <c r="D560">
        <v>6.24</v>
      </c>
      <c r="E560">
        <v>898</v>
      </c>
      <c r="F560">
        <v>4.59</v>
      </c>
      <c r="G560">
        <v>214</v>
      </c>
      <c r="H560">
        <v>26304.75</v>
      </c>
      <c r="I560">
        <v>2793</v>
      </c>
      <c r="K560">
        <v>2018</v>
      </c>
      <c r="L560" t="s">
        <v>97</v>
      </c>
    </row>
    <row r="561" spans="1:12" x14ac:dyDescent="0.35">
      <c r="A561" t="s">
        <v>12</v>
      </c>
      <c r="B561" t="s">
        <v>96</v>
      </c>
      <c r="C561" t="s">
        <v>44</v>
      </c>
      <c r="D561">
        <v>3.98</v>
      </c>
      <c r="E561">
        <v>754</v>
      </c>
      <c r="G561">
        <v>1954.36</v>
      </c>
      <c r="H561">
        <v>15083.09</v>
      </c>
      <c r="I561">
        <v>5102</v>
      </c>
      <c r="K561">
        <v>2018</v>
      </c>
      <c r="L561" t="s">
        <v>97</v>
      </c>
    </row>
    <row r="562" spans="1:12" x14ac:dyDescent="0.35">
      <c r="A562" t="s">
        <v>12</v>
      </c>
      <c r="B562" t="s">
        <v>96</v>
      </c>
      <c r="C562" t="s">
        <v>49</v>
      </c>
      <c r="D562">
        <v>7.31</v>
      </c>
      <c r="E562">
        <v>4990</v>
      </c>
      <c r="F562">
        <v>5.12</v>
      </c>
      <c r="G562">
        <v>8205.2000000000007</v>
      </c>
      <c r="H562">
        <v>193067</v>
      </c>
      <c r="I562">
        <v>23665</v>
      </c>
      <c r="K562">
        <v>2018</v>
      </c>
      <c r="L562" t="s">
        <v>97</v>
      </c>
    </row>
    <row r="563" spans="1:12" x14ac:dyDescent="0.35">
      <c r="A563" t="s">
        <v>12</v>
      </c>
      <c r="B563" t="s">
        <v>96</v>
      </c>
      <c r="C563" t="s">
        <v>91</v>
      </c>
      <c r="D563">
        <v>6.04</v>
      </c>
      <c r="E563">
        <v>405</v>
      </c>
      <c r="F563">
        <v>2.96</v>
      </c>
      <c r="G563">
        <v>1.71</v>
      </c>
      <c r="H563">
        <v>214.89</v>
      </c>
      <c r="I563">
        <v>1195</v>
      </c>
      <c r="K563">
        <v>2018</v>
      </c>
      <c r="L563" t="s">
        <v>97</v>
      </c>
    </row>
    <row r="564" spans="1:12" x14ac:dyDescent="0.35">
      <c r="A564" t="s">
        <v>12</v>
      </c>
      <c r="B564" t="s">
        <v>96</v>
      </c>
      <c r="C564" t="s">
        <v>48</v>
      </c>
      <c r="D564">
        <v>5.12</v>
      </c>
      <c r="E564">
        <v>441</v>
      </c>
      <c r="F564">
        <v>4.8099999999999996</v>
      </c>
      <c r="G564">
        <v>71.7</v>
      </c>
      <c r="H564">
        <v>12201.57</v>
      </c>
      <c r="I564">
        <v>1538</v>
      </c>
      <c r="K564">
        <v>2018</v>
      </c>
      <c r="L564" t="s">
        <v>97</v>
      </c>
    </row>
    <row r="565" spans="1:12" x14ac:dyDescent="0.35">
      <c r="A565" t="s">
        <v>12</v>
      </c>
      <c r="B565" t="s">
        <v>96</v>
      </c>
      <c r="C565" t="s">
        <v>57</v>
      </c>
      <c r="D565">
        <v>8</v>
      </c>
      <c r="E565">
        <v>1138</v>
      </c>
      <c r="F565">
        <v>4.6900000000000004</v>
      </c>
      <c r="G565">
        <v>0.28000000000000003</v>
      </c>
      <c r="H565">
        <v>1300</v>
      </c>
      <c r="I565">
        <v>4247</v>
      </c>
      <c r="K565">
        <v>2018</v>
      </c>
      <c r="L565" t="s">
        <v>97</v>
      </c>
    </row>
    <row r="566" spans="1:12" x14ac:dyDescent="0.35">
      <c r="A566" t="s">
        <v>12</v>
      </c>
      <c r="B566" t="s">
        <v>96</v>
      </c>
      <c r="C566" t="s">
        <v>39</v>
      </c>
      <c r="D566">
        <v>10.46</v>
      </c>
      <c r="E566">
        <v>3322</v>
      </c>
      <c r="F566">
        <v>2.67</v>
      </c>
      <c r="G566">
        <v>8068</v>
      </c>
      <c r="H566">
        <v>53000</v>
      </c>
      <c r="I566">
        <v>29045</v>
      </c>
      <c r="K566">
        <v>2018</v>
      </c>
      <c r="L566" t="s">
        <v>97</v>
      </c>
    </row>
    <row r="567" spans="1:12" x14ac:dyDescent="0.35">
      <c r="A567" t="s">
        <v>12</v>
      </c>
      <c r="B567" t="s">
        <v>96</v>
      </c>
      <c r="C567" t="s">
        <v>51</v>
      </c>
      <c r="D567">
        <v>6.31</v>
      </c>
      <c r="E567">
        <v>5295</v>
      </c>
      <c r="F567">
        <v>5.03</v>
      </c>
      <c r="G567">
        <v>3106.89</v>
      </c>
      <c r="H567">
        <v>266449.26</v>
      </c>
      <c r="I567">
        <v>15279</v>
      </c>
      <c r="K567">
        <v>2018</v>
      </c>
      <c r="L567" t="s">
        <v>97</v>
      </c>
    </row>
    <row r="568" spans="1:12" x14ac:dyDescent="0.35">
      <c r="A568" t="s">
        <v>12</v>
      </c>
      <c r="B568" t="s">
        <v>96</v>
      </c>
      <c r="C568" t="s">
        <v>79</v>
      </c>
      <c r="D568">
        <v>4.95</v>
      </c>
      <c r="E568">
        <v>216</v>
      </c>
      <c r="F568">
        <v>3.26</v>
      </c>
      <c r="G568">
        <v>128.07</v>
      </c>
      <c r="H568">
        <v>1452.6</v>
      </c>
      <c r="I568">
        <v>558</v>
      </c>
      <c r="K568">
        <v>2018</v>
      </c>
      <c r="L568" t="s">
        <v>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891C4-0F27-4FBC-B318-74C00B908A51}">
  <sheetPr codeName="Sheet2"/>
  <dimension ref="A1:N64"/>
  <sheetViews>
    <sheetView workbookViewId="0">
      <selection activeCell="C10" sqref="C10"/>
    </sheetView>
  </sheetViews>
  <sheetFormatPr defaultRowHeight="14.5" x14ac:dyDescent="0.35"/>
  <cols>
    <col min="1" max="1" width="22.08984375" bestFit="1" customWidth="1"/>
    <col min="2" max="2" width="15.26953125" bestFit="1" customWidth="1"/>
    <col min="3" max="4" width="4.81640625" bestFit="1" customWidth="1"/>
    <col min="5" max="5" width="7.81640625" bestFit="1" customWidth="1"/>
    <col min="6" max="6" width="10.7265625" bestFit="1" customWidth="1"/>
    <col min="7" max="10" width="4.81640625" bestFit="1" customWidth="1"/>
    <col min="11" max="11" width="10.7265625" bestFit="1" customWidth="1"/>
    <col min="12" max="12" width="4.81640625" bestFit="1" customWidth="1"/>
    <col min="13" max="13" width="10.7265625" bestFit="1" customWidth="1"/>
  </cols>
  <sheetData>
    <row r="1" spans="1:7" x14ac:dyDescent="0.35">
      <c r="A1" s="7" t="s">
        <v>103</v>
      </c>
      <c r="B1" s="7"/>
      <c r="C1" s="7"/>
      <c r="D1" s="7"/>
      <c r="E1" s="7"/>
      <c r="F1" s="7"/>
      <c r="G1" s="7"/>
    </row>
    <row r="2" spans="1:7" x14ac:dyDescent="0.35">
      <c r="A2" s="7"/>
      <c r="B2" s="7"/>
      <c r="C2" s="7"/>
      <c r="D2" s="7"/>
      <c r="E2" s="7"/>
      <c r="F2" s="7"/>
      <c r="G2" s="7"/>
    </row>
    <row r="3" spans="1:7" x14ac:dyDescent="0.35">
      <c r="A3" s="2" t="s">
        <v>107</v>
      </c>
      <c r="B3" s="2" t="s">
        <v>106</v>
      </c>
    </row>
    <row r="4" spans="1:7" x14ac:dyDescent="0.35">
      <c r="A4" s="2" t="s">
        <v>104</v>
      </c>
      <c r="B4">
        <v>2008</v>
      </c>
      <c r="C4">
        <v>2010</v>
      </c>
      <c r="D4">
        <v>2014</v>
      </c>
      <c r="E4">
        <v>2018</v>
      </c>
      <c r="F4" t="s">
        <v>105</v>
      </c>
    </row>
    <row r="5" spans="1:7" x14ac:dyDescent="0.35">
      <c r="A5" s="3" t="s">
        <v>48</v>
      </c>
      <c r="B5" s="8">
        <v>57</v>
      </c>
      <c r="C5" s="8">
        <v>48</v>
      </c>
      <c r="D5" s="8">
        <v>64</v>
      </c>
      <c r="E5" s="8">
        <v>71.7</v>
      </c>
      <c r="F5" s="8">
        <v>240.7</v>
      </c>
    </row>
    <row r="6" spans="1:7" x14ac:dyDescent="0.35">
      <c r="A6" s="3" t="s">
        <v>57</v>
      </c>
      <c r="B6" s="8"/>
      <c r="C6" s="8"/>
      <c r="D6" s="8"/>
      <c r="E6" s="8">
        <v>0.28000000000000003</v>
      </c>
      <c r="F6" s="8">
        <v>0.28000000000000003</v>
      </c>
    </row>
    <row r="7" spans="1:7" x14ac:dyDescent="0.35">
      <c r="A7" s="3" t="s">
        <v>58</v>
      </c>
      <c r="B7" s="8"/>
      <c r="C7" s="8"/>
      <c r="D7" s="8">
        <v>919</v>
      </c>
      <c r="E7" s="8">
        <v>1642.5</v>
      </c>
      <c r="F7" s="8">
        <v>2561.5</v>
      </c>
    </row>
    <row r="8" spans="1:7" x14ac:dyDescent="0.35">
      <c r="A8" s="3" t="s">
        <v>51</v>
      </c>
      <c r="B8" s="8">
        <v>3699</v>
      </c>
      <c r="C8" s="8">
        <v>3391</v>
      </c>
      <c r="D8" s="8">
        <v>3582</v>
      </c>
      <c r="E8" s="8">
        <v>3106.89</v>
      </c>
      <c r="F8" s="8">
        <v>13778.89</v>
      </c>
    </row>
    <row r="9" spans="1:7" x14ac:dyDescent="0.35">
      <c r="A9" s="3" t="s">
        <v>105</v>
      </c>
      <c r="B9" s="8">
        <v>3756</v>
      </c>
      <c r="C9" s="8">
        <v>3439</v>
      </c>
      <c r="D9" s="8">
        <v>4565</v>
      </c>
      <c r="E9" s="8">
        <v>4821.37</v>
      </c>
      <c r="F9" s="8">
        <v>16581.37</v>
      </c>
    </row>
    <row r="64" spans="14:14" x14ac:dyDescent="0.35">
      <c r="N64">
        <f>GETPIVOTDATA("Passenger carried",$A$3)</f>
        <v>16581.37</v>
      </c>
    </row>
  </sheetData>
  <mergeCells count="1">
    <mergeCell ref="A1:G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CE438-C081-4E29-ACCD-B79B455AB4BA}">
  <sheetPr codeName="Sheet3"/>
  <dimension ref="A1:G8"/>
  <sheetViews>
    <sheetView workbookViewId="0">
      <selection sqref="A1:G2"/>
    </sheetView>
  </sheetViews>
  <sheetFormatPr defaultRowHeight="14.5" x14ac:dyDescent="0.35"/>
  <cols>
    <col min="1" max="1" width="12.36328125" bestFit="1" customWidth="1"/>
    <col min="2" max="2" width="18" bestFit="1" customWidth="1"/>
  </cols>
  <sheetData>
    <row r="1" spans="1:7" x14ac:dyDescent="0.35">
      <c r="A1" s="7" t="s">
        <v>108</v>
      </c>
      <c r="B1" s="7"/>
      <c r="C1" s="7"/>
      <c r="D1" s="7"/>
      <c r="E1" s="7"/>
      <c r="F1" s="7"/>
      <c r="G1" s="7"/>
    </row>
    <row r="2" spans="1:7" x14ac:dyDescent="0.35">
      <c r="A2" s="7"/>
      <c r="B2" s="7"/>
      <c r="C2" s="7"/>
      <c r="D2" s="7"/>
      <c r="E2" s="7"/>
      <c r="F2" s="7"/>
      <c r="G2" s="7"/>
    </row>
    <row r="3" spans="1:7" x14ac:dyDescent="0.35">
      <c r="A3" s="2" t="s">
        <v>104</v>
      </c>
      <c r="B3" t="s">
        <v>110</v>
      </c>
    </row>
    <row r="4" spans="1:7" x14ac:dyDescent="0.35">
      <c r="A4" s="3">
        <v>2008</v>
      </c>
      <c r="B4" s="8">
        <v>6.95</v>
      </c>
    </row>
    <row r="5" spans="1:7" x14ac:dyDescent="0.35">
      <c r="A5" s="3">
        <v>2010</v>
      </c>
      <c r="B5" s="8">
        <v>4.4499999999999993</v>
      </c>
    </row>
    <row r="6" spans="1:7" x14ac:dyDescent="0.35">
      <c r="A6" s="3">
        <v>2014</v>
      </c>
      <c r="B6" s="8">
        <v>5.3566666666666665</v>
      </c>
    </row>
    <row r="7" spans="1:7" x14ac:dyDescent="0.35">
      <c r="A7" s="3">
        <v>2018</v>
      </c>
      <c r="B7" s="8">
        <v>6.6074999999999999</v>
      </c>
    </row>
    <row r="8" spans="1:7" x14ac:dyDescent="0.35">
      <c r="A8" s="3" t="s">
        <v>105</v>
      </c>
      <c r="B8" s="8">
        <v>5.9363636363636374</v>
      </c>
    </row>
  </sheetData>
  <mergeCells count="1">
    <mergeCell ref="A1:G2"/>
  </mergeCell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C9FDE-A4CF-4CC5-AE90-A30C3C097747}">
  <sheetPr codeName="Sheet4"/>
  <dimension ref="A1:U10"/>
  <sheetViews>
    <sheetView zoomScale="91" workbookViewId="0">
      <selection activeCell="A5" sqref="A5"/>
    </sheetView>
  </sheetViews>
  <sheetFormatPr defaultRowHeight="14.5" x14ac:dyDescent="0.35"/>
  <cols>
    <col min="1" max="1" width="24" bestFit="1" customWidth="1"/>
    <col min="2" max="2" width="22.36328125" bestFit="1" customWidth="1"/>
    <col min="3" max="3" width="4.90625" bestFit="1" customWidth="1"/>
    <col min="4" max="4" width="11.90625" bestFit="1" customWidth="1"/>
    <col min="5" max="5" width="5.90625" bestFit="1" customWidth="1"/>
    <col min="6" max="6" width="11.90625" bestFit="1" customWidth="1"/>
    <col min="7" max="7" width="4.90625" bestFit="1" customWidth="1"/>
    <col min="8" max="8" width="6.90625" bestFit="1" customWidth="1"/>
    <col min="9" max="9" width="4.90625" bestFit="1" customWidth="1"/>
    <col min="10" max="12" width="5.90625" bestFit="1" customWidth="1"/>
    <col min="13" max="13" width="11.90625" bestFit="1" customWidth="1"/>
    <col min="14" max="15" width="4.81640625" bestFit="1" customWidth="1"/>
    <col min="16" max="16" width="3.81640625" bestFit="1" customWidth="1"/>
    <col min="17" max="19" width="4.81640625" bestFit="1" customWidth="1"/>
    <col min="20" max="20" width="3.81640625" bestFit="1" customWidth="1"/>
    <col min="21" max="24" width="4.81640625" bestFit="1" customWidth="1"/>
    <col min="25" max="25" width="1.81640625" bestFit="1" customWidth="1"/>
    <col min="26" max="27" width="4.81640625" bestFit="1" customWidth="1"/>
    <col min="28" max="28" width="3.81640625" bestFit="1" customWidth="1"/>
    <col min="29" max="31" width="4.81640625" bestFit="1" customWidth="1"/>
    <col min="32" max="32" width="3.81640625" bestFit="1" customWidth="1"/>
    <col min="33" max="36" width="4.81640625" bestFit="1" customWidth="1"/>
    <col min="37" max="37" width="3.81640625" bestFit="1" customWidth="1"/>
    <col min="38" max="39" width="4.81640625" bestFit="1" customWidth="1"/>
    <col min="40" max="40" width="3.81640625" bestFit="1" customWidth="1"/>
    <col min="41" max="41" width="4.81640625" bestFit="1" customWidth="1"/>
    <col min="42" max="42" width="3.81640625" bestFit="1" customWidth="1"/>
    <col min="43" max="43" width="4.81640625" bestFit="1" customWidth="1"/>
    <col min="44" max="44" width="3.81640625" bestFit="1" customWidth="1"/>
    <col min="45" max="46" width="4.81640625" bestFit="1" customWidth="1"/>
    <col min="47" max="47" width="3.81640625" bestFit="1" customWidth="1"/>
    <col min="48" max="55" width="4.81640625" bestFit="1" customWidth="1"/>
    <col min="56" max="56" width="3.81640625" bestFit="1" customWidth="1"/>
    <col min="57" max="58" width="4.81640625" bestFit="1" customWidth="1"/>
    <col min="59" max="59" width="3.81640625" bestFit="1" customWidth="1"/>
    <col min="60" max="62" width="4.81640625" bestFit="1" customWidth="1"/>
    <col min="63" max="63" width="1.81640625" bestFit="1" customWidth="1"/>
    <col min="64" max="69" width="4.81640625" bestFit="1" customWidth="1"/>
    <col min="70" max="70" width="3.81640625" bestFit="1" customWidth="1"/>
    <col min="71" max="75" width="4.81640625" bestFit="1" customWidth="1"/>
    <col min="76" max="76" width="3.81640625" bestFit="1" customWidth="1"/>
    <col min="77" max="83" width="4.81640625" bestFit="1" customWidth="1"/>
    <col min="84" max="84" width="3.81640625" bestFit="1" customWidth="1"/>
    <col min="85" max="89" width="4.81640625" bestFit="1" customWidth="1"/>
    <col min="90" max="90" width="3.81640625" bestFit="1" customWidth="1"/>
    <col min="91" max="91" width="4.81640625" bestFit="1" customWidth="1"/>
    <col min="92" max="92" width="3.81640625" bestFit="1" customWidth="1"/>
    <col min="93" max="98" width="4.81640625" bestFit="1" customWidth="1"/>
    <col min="99" max="99" width="3.81640625" bestFit="1" customWidth="1"/>
    <col min="100" max="105" width="4.81640625" bestFit="1" customWidth="1"/>
    <col min="106" max="106" width="3.81640625" bestFit="1" customWidth="1"/>
    <col min="107" max="112" width="4.81640625" bestFit="1" customWidth="1"/>
    <col min="113" max="113" width="3.81640625" bestFit="1" customWidth="1"/>
    <col min="114" max="119" width="4.81640625" bestFit="1" customWidth="1"/>
    <col min="120" max="120" width="3.81640625" bestFit="1" customWidth="1"/>
    <col min="121" max="121" width="4.81640625" bestFit="1" customWidth="1"/>
    <col min="122" max="122" width="1.81640625" bestFit="1" customWidth="1"/>
    <col min="123" max="127" width="4.81640625" bestFit="1" customWidth="1"/>
    <col min="128" max="128" width="3.81640625" bestFit="1" customWidth="1"/>
    <col min="129" max="136" width="4.81640625" bestFit="1" customWidth="1"/>
    <col min="137" max="137" width="3.81640625" bestFit="1" customWidth="1"/>
    <col min="138" max="141" width="4.81640625" bestFit="1" customWidth="1"/>
    <col min="142" max="142" width="3.81640625" bestFit="1" customWidth="1"/>
    <col min="143" max="147" width="4.81640625" bestFit="1" customWidth="1"/>
    <col min="148" max="148" width="3.81640625" bestFit="1" customWidth="1"/>
    <col min="149" max="151" width="4.81640625" bestFit="1" customWidth="1"/>
    <col min="152" max="152" width="3.81640625" bestFit="1" customWidth="1"/>
    <col min="153" max="157" width="4.81640625" bestFit="1" customWidth="1"/>
    <col min="158" max="158" width="3.81640625" bestFit="1" customWidth="1"/>
    <col min="159" max="166" width="4.81640625" bestFit="1" customWidth="1"/>
    <col min="167" max="167" width="1.81640625" bestFit="1" customWidth="1"/>
    <col min="168" max="168" width="10.7265625" bestFit="1" customWidth="1"/>
  </cols>
  <sheetData>
    <row r="1" spans="1:21" x14ac:dyDescent="0.35">
      <c r="A1" s="2" t="s">
        <v>11</v>
      </c>
      <c r="B1" s="3">
        <v>2014</v>
      </c>
      <c r="C1" s="1"/>
      <c r="D1" s="1"/>
      <c r="E1" s="1"/>
      <c r="F1" s="1"/>
      <c r="L1" s="7" t="s">
        <v>111</v>
      </c>
      <c r="M1" s="7"/>
      <c r="N1" s="7"/>
      <c r="O1" s="7"/>
      <c r="P1" s="7"/>
      <c r="Q1" s="7"/>
      <c r="R1" s="7"/>
      <c r="S1" s="7"/>
      <c r="T1" s="7"/>
      <c r="U1" s="7"/>
    </row>
    <row r="2" spans="1:21" x14ac:dyDescent="0.35">
      <c r="A2" s="2" t="s">
        <v>100</v>
      </c>
      <c r="B2" t="s">
        <v>117</v>
      </c>
      <c r="C2" s="1"/>
      <c r="D2" s="1"/>
      <c r="E2" s="1"/>
      <c r="F2" s="1"/>
      <c r="L2" s="7"/>
      <c r="M2" s="7"/>
      <c r="N2" s="7"/>
      <c r="O2" s="7"/>
      <c r="P2" s="7"/>
      <c r="Q2" s="7"/>
      <c r="R2" s="7"/>
      <c r="S2" s="7"/>
      <c r="T2" s="7"/>
      <c r="U2" s="7"/>
    </row>
    <row r="4" spans="1:21" x14ac:dyDescent="0.35">
      <c r="A4" s="2" t="s">
        <v>104</v>
      </c>
      <c r="B4" t="s">
        <v>112</v>
      </c>
    </row>
    <row r="5" spans="1:21" x14ac:dyDescent="0.35">
      <c r="A5" s="3" t="s">
        <v>31</v>
      </c>
      <c r="B5" s="8">
        <v>5.48</v>
      </c>
    </row>
    <row r="6" spans="1:21" x14ac:dyDescent="0.35">
      <c r="A6" s="3" t="s">
        <v>29</v>
      </c>
      <c r="B6" s="8">
        <v>5.63</v>
      </c>
    </row>
    <row r="7" spans="1:21" x14ac:dyDescent="0.35">
      <c r="A7" s="3" t="s">
        <v>34</v>
      </c>
      <c r="B7" s="8">
        <v>5.4</v>
      </c>
    </row>
    <row r="8" spans="1:21" x14ac:dyDescent="0.35">
      <c r="A8" s="3" t="s">
        <v>38</v>
      </c>
      <c r="B8" s="8">
        <v>5.53</v>
      </c>
    </row>
    <row r="9" spans="1:21" x14ac:dyDescent="0.35">
      <c r="A9" s="3" t="s">
        <v>42</v>
      </c>
      <c r="B9" s="8">
        <v>5.59</v>
      </c>
    </row>
    <row r="10" spans="1:21" x14ac:dyDescent="0.35">
      <c r="A10" s="3" t="s">
        <v>105</v>
      </c>
      <c r="B10" s="8">
        <v>5.5259999999999998</v>
      </c>
    </row>
  </sheetData>
  <mergeCells count="1">
    <mergeCell ref="L1:U2"/>
  </mergeCell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F7BC0-1301-433B-ADFF-5DC4DDA2F307}">
  <sheetPr codeName="Sheet5"/>
  <dimension ref="A1:F62"/>
  <sheetViews>
    <sheetView workbookViewId="0">
      <selection activeCell="M4" sqref="M4"/>
    </sheetView>
  </sheetViews>
  <sheetFormatPr defaultRowHeight="14.5" x14ac:dyDescent="0.35"/>
  <cols>
    <col min="1" max="1" width="12.54296875" bestFit="1" customWidth="1"/>
    <col min="2" max="2" width="15.54296875" bestFit="1" customWidth="1"/>
    <col min="4" max="4" width="24.90625" customWidth="1"/>
  </cols>
  <sheetData>
    <row r="1" spans="1:6" x14ac:dyDescent="0.35">
      <c r="A1" s="7" t="s">
        <v>113</v>
      </c>
      <c r="B1" s="7"/>
      <c r="C1" s="7"/>
      <c r="D1" s="7"/>
      <c r="E1" s="7"/>
      <c r="F1" s="7"/>
    </row>
    <row r="2" spans="1:6" x14ac:dyDescent="0.35">
      <c r="A2" s="7"/>
      <c r="B2" s="7"/>
      <c r="C2" s="7"/>
      <c r="D2" s="7"/>
      <c r="E2" s="7"/>
      <c r="F2" s="7"/>
    </row>
    <row r="3" spans="1:6" x14ac:dyDescent="0.35">
      <c r="A3" s="2" t="s">
        <v>104</v>
      </c>
      <c r="B3" t="s">
        <v>114</v>
      </c>
    </row>
    <row r="4" spans="1:6" x14ac:dyDescent="0.35">
      <c r="A4" s="3" t="s">
        <v>48</v>
      </c>
      <c r="B4" s="8">
        <v>1516</v>
      </c>
      <c r="D4" t="s">
        <v>90</v>
      </c>
      <c r="E4">
        <v>690</v>
      </c>
    </row>
    <row r="5" spans="1:6" x14ac:dyDescent="0.35">
      <c r="A5" s="3" t="s">
        <v>57</v>
      </c>
      <c r="B5" s="8">
        <v>1138</v>
      </c>
      <c r="D5" t="s">
        <v>92</v>
      </c>
      <c r="E5">
        <v>507</v>
      </c>
    </row>
    <row r="6" spans="1:6" x14ac:dyDescent="0.35">
      <c r="A6" s="3" t="s">
        <v>58</v>
      </c>
      <c r="B6" s="8">
        <v>2637</v>
      </c>
      <c r="D6" t="s">
        <v>44</v>
      </c>
      <c r="E6">
        <v>7866</v>
      </c>
    </row>
    <row r="7" spans="1:6" x14ac:dyDescent="0.35">
      <c r="A7" s="3" t="s">
        <v>51</v>
      </c>
      <c r="B7" s="8">
        <v>19012</v>
      </c>
      <c r="D7" t="s">
        <v>41</v>
      </c>
      <c r="E7">
        <v>1855</v>
      </c>
    </row>
    <row r="8" spans="1:6" x14ac:dyDescent="0.35">
      <c r="A8" s="3" t="s">
        <v>105</v>
      </c>
      <c r="B8" s="8">
        <v>24303</v>
      </c>
      <c r="D8" t="s">
        <v>43</v>
      </c>
      <c r="E8">
        <v>81857</v>
      </c>
    </row>
    <row r="9" spans="1:6" x14ac:dyDescent="0.35">
      <c r="D9" t="s">
        <v>56</v>
      </c>
      <c r="E9">
        <v>207</v>
      </c>
    </row>
    <row r="10" spans="1:6" x14ac:dyDescent="0.35">
      <c r="D10" t="s">
        <v>40</v>
      </c>
      <c r="E10">
        <v>5583</v>
      </c>
    </row>
    <row r="11" spans="1:6" x14ac:dyDescent="0.35">
      <c r="D11" t="s">
        <v>37</v>
      </c>
      <c r="E11">
        <v>68430</v>
      </c>
    </row>
    <row r="12" spans="1:6" x14ac:dyDescent="0.35">
      <c r="D12" t="s">
        <v>39</v>
      </c>
      <c r="E12">
        <v>45232</v>
      </c>
    </row>
    <row r="13" spans="1:6" x14ac:dyDescent="0.35">
      <c r="D13" t="s">
        <v>36</v>
      </c>
      <c r="E13">
        <v>4789</v>
      </c>
    </row>
    <row r="14" spans="1:6" x14ac:dyDescent="0.35">
      <c r="D14" t="s">
        <v>35</v>
      </c>
      <c r="E14">
        <v>6924</v>
      </c>
    </row>
    <row r="15" spans="1:6" x14ac:dyDescent="0.35">
      <c r="D15" t="s">
        <v>33</v>
      </c>
      <c r="E15">
        <v>5294</v>
      </c>
    </row>
    <row r="16" spans="1:6" x14ac:dyDescent="0.35">
      <c r="D16" t="s">
        <v>77</v>
      </c>
      <c r="E16">
        <v>3327</v>
      </c>
    </row>
    <row r="17" spans="4:5" x14ac:dyDescent="0.35">
      <c r="D17" t="s">
        <v>32</v>
      </c>
      <c r="E17">
        <v>34207</v>
      </c>
    </row>
    <row r="18" spans="4:5" x14ac:dyDescent="0.35">
      <c r="D18" t="s">
        <v>31</v>
      </c>
      <c r="E18">
        <v>71107</v>
      </c>
    </row>
    <row r="19" spans="4:5" x14ac:dyDescent="0.35">
      <c r="D19" t="s">
        <v>30</v>
      </c>
      <c r="E19">
        <v>31221</v>
      </c>
    </row>
    <row r="20" spans="4:5" x14ac:dyDescent="0.35">
      <c r="D20" t="s">
        <v>28</v>
      </c>
      <c r="E20">
        <v>9534</v>
      </c>
    </row>
    <row r="21" spans="4:5" x14ac:dyDescent="0.35">
      <c r="D21" t="s">
        <v>27</v>
      </c>
      <c r="E21">
        <v>4184</v>
      </c>
    </row>
    <row r="22" spans="4:5" x14ac:dyDescent="0.35">
      <c r="D22" t="s">
        <v>91</v>
      </c>
      <c r="E22">
        <v>1321</v>
      </c>
    </row>
    <row r="23" spans="4:5" x14ac:dyDescent="0.35">
      <c r="D23" t="s">
        <v>26</v>
      </c>
      <c r="E23">
        <v>4091</v>
      </c>
    </row>
    <row r="24" spans="4:5" x14ac:dyDescent="0.35">
      <c r="D24" t="s">
        <v>79</v>
      </c>
      <c r="E24">
        <v>771</v>
      </c>
    </row>
    <row r="25" spans="4:5" x14ac:dyDescent="0.35">
      <c r="D25" t="s">
        <v>69</v>
      </c>
      <c r="E25">
        <v>32567</v>
      </c>
    </row>
    <row r="26" spans="4:5" x14ac:dyDescent="0.35">
      <c r="D26" t="s">
        <v>74</v>
      </c>
      <c r="E26">
        <v>270</v>
      </c>
    </row>
    <row r="27" spans="4:5" x14ac:dyDescent="0.35">
      <c r="D27" t="s">
        <v>24</v>
      </c>
      <c r="E27">
        <v>54127</v>
      </c>
    </row>
    <row r="28" spans="4:5" x14ac:dyDescent="0.35">
      <c r="D28" t="s">
        <v>23</v>
      </c>
      <c r="E28">
        <v>34355</v>
      </c>
    </row>
    <row r="29" spans="4:5" x14ac:dyDescent="0.35">
      <c r="D29" t="s">
        <v>71</v>
      </c>
      <c r="E29">
        <v>516</v>
      </c>
    </row>
    <row r="30" spans="4:5" x14ac:dyDescent="0.35">
      <c r="D30" t="s">
        <v>22</v>
      </c>
      <c r="E30">
        <v>192844</v>
      </c>
    </row>
    <row r="31" spans="4:5" x14ac:dyDescent="0.35">
      <c r="D31" t="s">
        <v>75</v>
      </c>
      <c r="E31">
        <v>498</v>
      </c>
    </row>
    <row r="32" spans="4:5" x14ac:dyDescent="0.35">
      <c r="D32" t="s">
        <v>20</v>
      </c>
      <c r="E32">
        <v>638</v>
      </c>
    </row>
    <row r="33" spans="4:5" x14ac:dyDescent="0.35">
      <c r="D33" t="s">
        <v>19</v>
      </c>
      <c r="E33">
        <v>39800</v>
      </c>
    </row>
    <row r="34" spans="4:5" x14ac:dyDescent="0.35">
      <c r="D34" t="s">
        <v>18</v>
      </c>
      <c r="E34">
        <v>389</v>
      </c>
    </row>
    <row r="35" spans="4:5" x14ac:dyDescent="0.35">
      <c r="D35" t="s">
        <v>16</v>
      </c>
      <c r="E35">
        <v>2209</v>
      </c>
    </row>
    <row r="36" spans="4:5" x14ac:dyDescent="0.35">
      <c r="D36" t="s">
        <v>14</v>
      </c>
      <c r="E36">
        <v>1091</v>
      </c>
    </row>
    <row r="37" spans="4:5" x14ac:dyDescent="0.35">
      <c r="D37" t="s">
        <v>52</v>
      </c>
      <c r="E37">
        <v>7727</v>
      </c>
    </row>
    <row r="38" spans="4:5" x14ac:dyDescent="0.35">
      <c r="D38" t="s">
        <v>50</v>
      </c>
      <c r="E38">
        <v>45028</v>
      </c>
    </row>
    <row r="39" spans="4:5" x14ac:dyDescent="0.35">
      <c r="D39" t="s">
        <v>49</v>
      </c>
      <c r="E39">
        <v>46791</v>
      </c>
    </row>
    <row r="40" spans="4:5" x14ac:dyDescent="0.35">
      <c r="D40" t="s">
        <v>48</v>
      </c>
      <c r="E40">
        <v>3615</v>
      </c>
    </row>
    <row r="41" spans="4:5" x14ac:dyDescent="0.35">
      <c r="D41" t="s">
        <v>57</v>
      </c>
      <c r="E41">
        <v>4372</v>
      </c>
    </row>
    <row r="42" spans="4:5" x14ac:dyDescent="0.35">
      <c r="D42" t="s">
        <v>72</v>
      </c>
      <c r="E42">
        <v>143</v>
      </c>
    </row>
    <row r="43" spans="4:5" x14ac:dyDescent="0.35">
      <c r="D43" t="s">
        <v>58</v>
      </c>
      <c r="E43">
        <v>8784</v>
      </c>
    </row>
    <row r="44" spans="4:5" x14ac:dyDescent="0.35">
      <c r="D44" t="s">
        <v>45</v>
      </c>
      <c r="E44">
        <v>20122</v>
      </c>
    </row>
    <row r="45" spans="4:5" x14ac:dyDescent="0.35">
      <c r="D45" t="s">
        <v>51</v>
      </c>
      <c r="E45">
        <v>51759</v>
      </c>
    </row>
    <row r="46" spans="4:5" x14ac:dyDescent="0.35">
      <c r="D46" t="s">
        <v>60</v>
      </c>
      <c r="E46">
        <v>767</v>
      </c>
    </row>
    <row r="47" spans="4:5" x14ac:dyDescent="0.35">
      <c r="D47" t="s">
        <v>64</v>
      </c>
      <c r="E47">
        <v>262</v>
      </c>
    </row>
    <row r="48" spans="4:5" x14ac:dyDescent="0.35">
      <c r="D48" t="s">
        <v>17</v>
      </c>
      <c r="E48">
        <v>6445</v>
      </c>
    </row>
    <row r="49" spans="4:5" x14ac:dyDescent="0.35">
      <c r="D49" t="s">
        <v>21</v>
      </c>
      <c r="E49">
        <v>10777</v>
      </c>
    </row>
    <row r="50" spans="4:5" x14ac:dyDescent="0.35">
      <c r="D50" t="s">
        <v>59</v>
      </c>
      <c r="E50">
        <v>3103</v>
      </c>
    </row>
    <row r="51" spans="4:5" x14ac:dyDescent="0.35">
      <c r="D51" t="s">
        <v>65</v>
      </c>
      <c r="E51">
        <v>31008</v>
      </c>
    </row>
    <row r="52" spans="4:5" x14ac:dyDescent="0.35">
      <c r="D52" t="s">
        <v>61</v>
      </c>
      <c r="E52">
        <v>1557</v>
      </c>
    </row>
    <row r="53" spans="4:5" x14ac:dyDescent="0.35">
      <c r="D53" t="s">
        <v>25</v>
      </c>
      <c r="E53">
        <v>34041</v>
      </c>
    </row>
    <row r="54" spans="4:5" x14ac:dyDescent="0.35">
      <c r="D54" t="s">
        <v>29</v>
      </c>
      <c r="E54">
        <v>40114</v>
      </c>
    </row>
    <row r="55" spans="4:5" x14ac:dyDescent="0.35">
      <c r="D55" t="s">
        <v>34</v>
      </c>
      <c r="E55">
        <v>31340</v>
      </c>
    </row>
    <row r="56" spans="4:5" x14ac:dyDescent="0.35">
      <c r="D56" t="s">
        <v>38</v>
      </c>
      <c r="E56">
        <v>23943</v>
      </c>
    </row>
    <row r="57" spans="4:5" x14ac:dyDescent="0.35">
      <c r="D57" t="s">
        <v>76</v>
      </c>
      <c r="E57">
        <v>7414</v>
      </c>
    </row>
    <row r="58" spans="4:5" x14ac:dyDescent="0.35">
      <c r="D58" t="s">
        <v>42</v>
      </c>
      <c r="E58">
        <v>34400</v>
      </c>
    </row>
    <row r="59" spans="4:5" x14ac:dyDescent="0.35">
      <c r="D59" t="s">
        <v>46</v>
      </c>
      <c r="E59">
        <v>306</v>
      </c>
    </row>
    <row r="60" spans="4:5" x14ac:dyDescent="0.35">
      <c r="D60" t="s">
        <v>47</v>
      </c>
      <c r="E60">
        <v>53795</v>
      </c>
    </row>
    <row r="61" spans="4:5" x14ac:dyDescent="0.35">
      <c r="D61" t="s">
        <v>55</v>
      </c>
      <c r="E61">
        <v>6225</v>
      </c>
    </row>
    <row r="62" spans="4:5" x14ac:dyDescent="0.35">
      <c r="D62" t="s">
        <v>73</v>
      </c>
      <c r="E62">
        <v>3403</v>
      </c>
    </row>
  </sheetData>
  <mergeCells count="1">
    <mergeCell ref="A1:F2"/>
  </mergeCell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DAF3D-82CD-4101-BDD0-9241681B74AE}">
  <sheetPr codeName="Sheet6"/>
  <dimension ref="A3:B8"/>
  <sheetViews>
    <sheetView workbookViewId="0">
      <selection activeCell="J13" sqref="J13"/>
    </sheetView>
  </sheetViews>
  <sheetFormatPr defaultRowHeight="14.5" x14ac:dyDescent="0.35"/>
  <cols>
    <col min="1" max="1" width="12.36328125" bestFit="1" customWidth="1"/>
    <col min="2" max="2" width="22.08984375" bestFit="1" customWidth="1"/>
  </cols>
  <sheetData>
    <row r="3" spans="1:2" x14ac:dyDescent="0.35">
      <c r="A3" s="2" t="s">
        <v>104</v>
      </c>
      <c r="B3" t="s">
        <v>107</v>
      </c>
    </row>
    <row r="4" spans="1:2" x14ac:dyDescent="0.35">
      <c r="A4" s="3">
        <v>2008</v>
      </c>
      <c r="B4" s="8">
        <v>3756</v>
      </c>
    </row>
    <row r="5" spans="1:2" x14ac:dyDescent="0.35">
      <c r="A5" s="3">
        <v>2010</v>
      </c>
      <c r="B5" s="8">
        <v>3439</v>
      </c>
    </row>
    <row r="6" spans="1:2" x14ac:dyDescent="0.35">
      <c r="A6" s="3">
        <v>2014</v>
      </c>
      <c r="B6" s="8">
        <v>4565</v>
      </c>
    </row>
    <row r="7" spans="1:2" x14ac:dyDescent="0.35">
      <c r="A7" s="3">
        <v>2018</v>
      </c>
      <c r="B7" s="8">
        <v>4821.37</v>
      </c>
    </row>
    <row r="8" spans="1:2" x14ac:dyDescent="0.35">
      <c r="A8" s="3" t="s">
        <v>105</v>
      </c>
      <c r="B8" s="8">
        <v>16581.37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B8111-6B16-4EB9-92E7-9817250E9145}">
  <sheetPr codeName="Sheet7"/>
  <dimension ref="A3:B6"/>
  <sheetViews>
    <sheetView workbookViewId="0">
      <selection activeCell="I15" sqref="I15"/>
    </sheetView>
  </sheetViews>
  <sheetFormatPr defaultRowHeight="14.5" x14ac:dyDescent="0.35"/>
  <cols>
    <col min="1" max="1" width="12.36328125" bestFit="1" customWidth="1"/>
    <col min="2" max="2" width="14.81640625" bestFit="1" customWidth="1"/>
  </cols>
  <sheetData>
    <row r="3" spans="1:2" x14ac:dyDescent="0.35">
      <c r="A3" s="2" t="s">
        <v>104</v>
      </c>
      <c r="B3" t="s">
        <v>109</v>
      </c>
    </row>
    <row r="4" spans="1:2" x14ac:dyDescent="0.35">
      <c r="A4" s="3" t="s">
        <v>115</v>
      </c>
      <c r="B4" s="8">
        <v>22.869999999999997</v>
      </c>
    </row>
    <row r="5" spans="1:2" x14ac:dyDescent="0.35">
      <c r="A5" s="3" t="s">
        <v>116</v>
      </c>
      <c r="B5" s="8">
        <v>42.43</v>
      </c>
    </row>
    <row r="6" spans="1:2" x14ac:dyDescent="0.35">
      <c r="A6" s="3" t="s">
        <v>105</v>
      </c>
      <c r="B6" s="8">
        <v>65.3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BC9E3-692C-4803-A8C4-3067A577118F}">
  <sheetPr codeName="Sheet8"/>
  <dimension ref="A1:B8"/>
  <sheetViews>
    <sheetView workbookViewId="0">
      <selection activeCell="D23" sqref="D23"/>
    </sheetView>
  </sheetViews>
  <sheetFormatPr defaultRowHeight="14.5" x14ac:dyDescent="0.35"/>
  <cols>
    <col min="1" max="1" width="12.54296875" bestFit="1" customWidth="1"/>
    <col min="2" max="2" width="19" bestFit="1" customWidth="1"/>
    <col min="3" max="12" width="4.81640625" bestFit="1" customWidth="1"/>
    <col min="13" max="13" width="10.7265625" bestFit="1" customWidth="1"/>
  </cols>
  <sheetData>
    <row r="1" spans="1:2" x14ac:dyDescent="0.35">
      <c r="A1" s="2" t="s">
        <v>11</v>
      </c>
      <c r="B1" t="s">
        <v>127</v>
      </c>
    </row>
    <row r="3" spans="1:2" x14ac:dyDescent="0.35">
      <c r="A3" s="2" t="s">
        <v>104</v>
      </c>
      <c r="B3" t="s">
        <v>118</v>
      </c>
    </row>
    <row r="4" spans="1:2" x14ac:dyDescent="0.35">
      <c r="A4" s="3" t="s">
        <v>48</v>
      </c>
      <c r="B4" s="8">
        <v>221852.57</v>
      </c>
    </row>
    <row r="5" spans="1:2" x14ac:dyDescent="0.35">
      <c r="A5" s="3" t="s">
        <v>57</v>
      </c>
      <c r="B5" s="8">
        <v>1300</v>
      </c>
    </row>
    <row r="6" spans="1:2" x14ac:dyDescent="0.35">
      <c r="A6" s="3" t="s">
        <v>58</v>
      </c>
      <c r="B6" s="8">
        <v>2860</v>
      </c>
    </row>
    <row r="7" spans="1:2" x14ac:dyDescent="0.35">
      <c r="A7" s="3" t="s">
        <v>51</v>
      </c>
      <c r="B7" s="8">
        <v>927548.26</v>
      </c>
    </row>
    <row r="8" spans="1:2" x14ac:dyDescent="0.35">
      <c r="A8" s="3" t="s">
        <v>105</v>
      </c>
      <c r="B8" s="8">
        <v>1153560.83</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E6235-CF0B-4DB7-BE2A-D60D44D6387D}">
  <sheetPr codeName="Sheet13"/>
  <dimension ref="A3:B8"/>
  <sheetViews>
    <sheetView workbookViewId="0">
      <selection activeCell="A5" sqref="A5"/>
    </sheetView>
  </sheetViews>
  <sheetFormatPr defaultRowHeight="14.5" x14ac:dyDescent="0.35"/>
  <cols>
    <col min="1" max="1" width="12.54296875" bestFit="1" customWidth="1"/>
    <col min="2" max="2" width="19" bestFit="1" customWidth="1"/>
  </cols>
  <sheetData>
    <row r="3" spans="1:2" x14ac:dyDescent="0.35">
      <c r="A3" s="2" t="s">
        <v>104</v>
      </c>
      <c r="B3" t="s">
        <v>128</v>
      </c>
    </row>
    <row r="4" spans="1:2" x14ac:dyDescent="0.35">
      <c r="A4" s="3" t="s">
        <v>48</v>
      </c>
      <c r="B4" s="8">
        <v>18.399999999999999</v>
      </c>
    </row>
    <row r="5" spans="1:2" x14ac:dyDescent="0.35">
      <c r="A5" s="3" t="s">
        <v>57</v>
      </c>
      <c r="B5" s="8">
        <v>4.6900000000000004</v>
      </c>
    </row>
    <row r="6" spans="1:2" x14ac:dyDescent="0.35">
      <c r="A6" s="3" t="s">
        <v>58</v>
      </c>
      <c r="B6" s="8">
        <v>9.14</v>
      </c>
    </row>
    <row r="7" spans="1:2" x14ac:dyDescent="0.35">
      <c r="A7" s="3" t="s">
        <v>51</v>
      </c>
      <c r="B7" s="8">
        <v>20.14</v>
      </c>
    </row>
    <row r="8" spans="1:2" x14ac:dyDescent="0.35">
      <c r="A8" s="3" t="s">
        <v>105</v>
      </c>
      <c r="B8" s="8">
        <v>52.370000000000005</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01AA3-DFAA-47C2-A5D4-0CBA7B35AB9A}">
  <sheetPr codeName="Sheet14"/>
  <dimension ref="A3:G62"/>
  <sheetViews>
    <sheetView workbookViewId="0">
      <selection activeCell="C19" sqref="C19"/>
    </sheetView>
  </sheetViews>
  <sheetFormatPr defaultRowHeight="14.5" x14ac:dyDescent="0.35"/>
  <cols>
    <col min="1" max="1" width="12.54296875" bestFit="1" customWidth="1"/>
    <col min="2" max="2" width="22.1796875" bestFit="1" customWidth="1"/>
    <col min="3" max="3" width="18" bestFit="1" customWidth="1"/>
  </cols>
  <sheetData>
    <row r="3" spans="1:7" x14ac:dyDescent="0.35">
      <c r="A3" s="2" t="s">
        <v>104</v>
      </c>
      <c r="B3" t="s">
        <v>112</v>
      </c>
      <c r="C3" t="s">
        <v>110</v>
      </c>
    </row>
    <row r="4" spans="1:7" x14ac:dyDescent="0.35">
      <c r="A4" s="3" t="s">
        <v>48</v>
      </c>
      <c r="B4" s="8">
        <v>4.5999999999999996</v>
      </c>
      <c r="C4" s="8">
        <v>5.9524999999999997</v>
      </c>
      <c r="E4" t="s">
        <v>90</v>
      </c>
      <c r="F4">
        <v>5.6499999999999995</v>
      </c>
      <c r="G4">
        <v>9</v>
      </c>
    </row>
    <row r="5" spans="1:7" x14ac:dyDescent="0.35">
      <c r="A5" s="3" t="s">
        <v>57</v>
      </c>
      <c r="B5" s="8">
        <v>4.6900000000000004</v>
      </c>
      <c r="C5" s="8">
        <v>8</v>
      </c>
      <c r="E5" t="s">
        <v>92</v>
      </c>
      <c r="F5">
        <v>2.2000000000000002</v>
      </c>
      <c r="G5">
        <v>6</v>
      </c>
    </row>
    <row r="6" spans="1:7" x14ac:dyDescent="0.35">
      <c r="A6" s="3" t="s">
        <v>58</v>
      </c>
      <c r="B6" s="8">
        <v>4.57</v>
      </c>
      <c r="C6" s="8">
        <v>7</v>
      </c>
      <c r="E6" t="s">
        <v>44</v>
      </c>
      <c r="F6">
        <v>3.3075000000000001</v>
      </c>
      <c r="G6">
        <v>6.9774999999999991</v>
      </c>
    </row>
    <row r="7" spans="1:7" x14ac:dyDescent="0.35">
      <c r="A7" s="3" t="s">
        <v>51</v>
      </c>
      <c r="B7" s="8">
        <v>5.0350000000000001</v>
      </c>
      <c r="C7" s="8">
        <v>4.8724999999999996</v>
      </c>
      <c r="E7" t="s">
        <v>41</v>
      </c>
      <c r="F7">
        <v>3.6642857142857141</v>
      </c>
      <c r="G7">
        <v>8.0428571428571427</v>
      </c>
    </row>
    <row r="8" spans="1:7" x14ac:dyDescent="0.35">
      <c r="A8" s="3" t="s">
        <v>105</v>
      </c>
      <c r="B8" s="8">
        <v>4.7609090909090908</v>
      </c>
      <c r="C8" s="8">
        <v>5.9363636363636374</v>
      </c>
      <c r="E8" t="s">
        <v>43</v>
      </c>
      <c r="F8">
        <v>5.1916666666666664</v>
      </c>
      <c r="G8">
        <v>5.88</v>
      </c>
    </row>
    <row r="9" spans="1:7" x14ac:dyDescent="0.35">
      <c r="E9" t="s">
        <v>56</v>
      </c>
      <c r="F9">
        <v>3.3</v>
      </c>
      <c r="G9">
        <v>8</v>
      </c>
    </row>
    <row r="10" spans="1:7" x14ac:dyDescent="0.35">
      <c r="E10" t="s">
        <v>40</v>
      </c>
      <c r="F10">
        <v>3.7279999999999993</v>
      </c>
      <c r="G10">
        <v>4.9340000000000002</v>
      </c>
    </row>
    <row r="11" spans="1:7" x14ac:dyDescent="0.35">
      <c r="E11" t="s">
        <v>37</v>
      </c>
      <c r="F11">
        <v>3.8990909090909098</v>
      </c>
      <c r="G11">
        <v>5.5527272727272736</v>
      </c>
    </row>
    <row r="12" spans="1:7" x14ac:dyDescent="0.35">
      <c r="E12" t="s">
        <v>39</v>
      </c>
      <c r="F12">
        <v>2.83</v>
      </c>
      <c r="G12">
        <v>7.6199999999999992</v>
      </c>
    </row>
    <row r="13" spans="1:7" x14ac:dyDescent="0.35">
      <c r="E13" t="s">
        <v>36</v>
      </c>
      <c r="F13">
        <v>4.3227272727272723</v>
      </c>
      <c r="G13">
        <v>11.218181818181817</v>
      </c>
    </row>
    <row r="14" spans="1:7" x14ac:dyDescent="0.35">
      <c r="E14" t="s">
        <v>35</v>
      </c>
      <c r="F14">
        <v>2.96</v>
      </c>
      <c r="G14">
        <v>5.1775000000000002</v>
      </c>
    </row>
    <row r="15" spans="1:7" x14ac:dyDescent="0.35">
      <c r="E15" t="s">
        <v>33</v>
      </c>
      <c r="F15">
        <v>3.7809090909090912</v>
      </c>
      <c r="G15">
        <v>5.504545454545454</v>
      </c>
    </row>
    <row r="16" spans="1:7" x14ac:dyDescent="0.35">
      <c r="E16" t="s">
        <v>77</v>
      </c>
      <c r="F16">
        <v>0</v>
      </c>
      <c r="G16">
        <v>0</v>
      </c>
    </row>
    <row r="17" spans="5:7" x14ac:dyDescent="0.35">
      <c r="E17" t="s">
        <v>32</v>
      </c>
      <c r="F17">
        <v>2.6557142857142857</v>
      </c>
      <c r="G17">
        <v>5.5285714285714294</v>
      </c>
    </row>
    <row r="18" spans="5:7" x14ac:dyDescent="0.35">
      <c r="E18" t="s">
        <v>31</v>
      </c>
      <c r="F18">
        <v>5.4588888888888896</v>
      </c>
      <c r="G18">
        <v>5.3244444444444445</v>
      </c>
    </row>
    <row r="19" spans="5:7" x14ac:dyDescent="0.35">
      <c r="E19" t="s">
        <v>30</v>
      </c>
      <c r="F19">
        <v>4.776250000000001</v>
      </c>
      <c r="G19">
        <v>4.4700000000000006</v>
      </c>
    </row>
    <row r="20" spans="5:7" x14ac:dyDescent="0.35">
      <c r="E20" t="s">
        <v>28</v>
      </c>
      <c r="F20">
        <v>3.6999999999999997</v>
      </c>
      <c r="G20">
        <v>4.9866666666666664</v>
      </c>
    </row>
    <row r="21" spans="5:7" x14ac:dyDescent="0.35">
      <c r="E21" t="s">
        <v>27</v>
      </c>
      <c r="F21">
        <v>4.2700000000000005</v>
      </c>
      <c r="G21">
        <v>9.95857142857143</v>
      </c>
    </row>
    <row r="22" spans="5:7" x14ac:dyDescent="0.35">
      <c r="E22" t="s">
        <v>91</v>
      </c>
      <c r="F22">
        <v>2.9166666666666665</v>
      </c>
      <c r="G22">
        <v>5.59</v>
      </c>
    </row>
    <row r="23" spans="5:7" x14ac:dyDescent="0.35">
      <c r="E23" t="s">
        <v>26</v>
      </c>
      <c r="F23">
        <v>4.2662499999999994</v>
      </c>
      <c r="G23">
        <v>5.4012499999999992</v>
      </c>
    </row>
    <row r="24" spans="5:7" x14ac:dyDescent="0.35">
      <c r="E24" t="s">
        <v>79</v>
      </c>
      <c r="F24">
        <v>3.1824999999999997</v>
      </c>
      <c r="G24">
        <v>3.9799999999999995</v>
      </c>
    </row>
    <row r="25" spans="5:7" x14ac:dyDescent="0.35">
      <c r="E25" t="s">
        <v>69</v>
      </c>
      <c r="F25">
        <v>4.8025000000000002</v>
      </c>
      <c r="G25">
        <v>4.1425000000000001</v>
      </c>
    </row>
    <row r="26" spans="5:7" x14ac:dyDescent="0.35">
      <c r="E26" t="s">
        <v>74</v>
      </c>
      <c r="F26">
        <v>0</v>
      </c>
      <c r="G26">
        <v>6</v>
      </c>
    </row>
    <row r="27" spans="5:7" x14ac:dyDescent="0.35">
      <c r="E27" t="s">
        <v>24</v>
      </c>
      <c r="F27">
        <v>4.8642857142857139</v>
      </c>
      <c r="G27">
        <v>4.2142857142857144</v>
      </c>
    </row>
    <row r="28" spans="5:7" x14ac:dyDescent="0.35">
      <c r="E28" t="s">
        <v>23</v>
      </c>
      <c r="F28">
        <v>4.1333333333333337</v>
      </c>
      <c r="G28">
        <v>6.5783333333333331</v>
      </c>
    </row>
    <row r="29" spans="5:7" x14ac:dyDescent="0.35">
      <c r="E29" t="s">
        <v>71</v>
      </c>
      <c r="F29">
        <v>3.8650000000000002</v>
      </c>
      <c r="G29">
        <v>6.6899999999999995</v>
      </c>
    </row>
    <row r="30" spans="5:7" x14ac:dyDescent="0.35">
      <c r="E30" t="s">
        <v>22</v>
      </c>
      <c r="F30">
        <v>4.8136363636363635</v>
      </c>
      <c r="G30">
        <v>4.8554545454545455</v>
      </c>
    </row>
    <row r="31" spans="5:7" x14ac:dyDescent="0.35">
      <c r="E31" t="s">
        <v>75</v>
      </c>
      <c r="F31">
        <v>4.34</v>
      </c>
      <c r="G31">
        <v>7.5</v>
      </c>
    </row>
    <row r="32" spans="5:7" x14ac:dyDescent="0.35">
      <c r="E32" t="s">
        <v>20</v>
      </c>
      <c r="F32">
        <v>4.5318181818181813</v>
      </c>
      <c r="G32">
        <v>6.9645454545454548</v>
      </c>
    </row>
    <row r="33" spans="5:7" x14ac:dyDescent="0.35">
      <c r="E33" t="s">
        <v>19</v>
      </c>
      <c r="F33">
        <v>4.3954545454545455</v>
      </c>
      <c r="G33">
        <v>5.4890909090909092</v>
      </c>
    </row>
    <row r="34" spans="5:7" x14ac:dyDescent="0.35">
      <c r="E34" t="s">
        <v>18</v>
      </c>
      <c r="F34">
        <v>3.2455555555555557</v>
      </c>
      <c r="G34">
        <v>6.7777777777777777</v>
      </c>
    </row>
    <row r="35" spans="5:7" x14ac:dyDescent="0.35">
      <c r="E35" t="s">
        <v>16</v>
      </c>
      <c r="F35">
        <v>3.6139999999999999</v>
      </c>
      <c r="G35">
        <v>6.4530000000000003</v>
      </c>
    </row>
    <row r="36" spans="5:7" x14ac:dyDescent="0.35">
      <c r="E36" t="s">
        <v>14</v>
      </c>
      <c r="F36">
        <v>3.0133333333333332</v>
      </c>
      <c r="G36">
        <v>4.9133333333333331</v>
      </c>
    </row>
    <row r="37" spans="5:7" x14ac:dyDescent="0.35">
      <c r="E37" t="s">
        <v>52</v>
      </c>
      <c r="F37">
        <v>4.117</v>
      </c>
      <c r="G37">
        <v>7.1599999999999993</v>
      </c>
    </row>
    <row r="38" spans="5:7" x14ac:dyDescent="0.35">
      <c r="E38" t="s">
        <v>50</v>
      </c>
      <c r="F38">
        <v>5.2236363636363636</v>
      </c>
      <c r="G38">
        <v>5.1318181818181818</v>
      </c>
    </row>
    <row r="39" spans="5:7" x14ac:dyDescent="0.35">
      <c r="E39" t="s">
        <v>49</v>
      </c>
      <c r="F39">
        <v>5.1109999999999989</v>
      </c>
      <c r="G39">
        <v>5.8760000000000003</v>
      </c>
    </row>
    <row r="40" spans="5:7" x14ac:dyDescent="0.35">
      <c r="E40" t="s">
        <v>48</v>
      </c>
      <c r="F40">
        <v>4.6355555555555563</v>
      </c>
      <c r="G40">
        <v>5.9811111111111108</v>
      </c>
    </row>
    <row r="41" spans="5:7" x14ac:dyDescent="0.35">
      <c r="E41" t="s">
        <v>57</v>
      </c>
      <c r="F41">
        <v>4.6349999999999998</v>
      </c>
      <c r="G41">
        <v>8</v>
      </c>
    </row>
    <row r="42" spans="5:7" x14ac:dyDescent="0.35">
      <c r="E42" t="s">
        <v>72</v>
      </c>
      <c r="F42">
        <v>4.1399999999999997</v>
      </c>
      <c r="G42">
        <v>7</v>
      </c>
    </row>
    <row r="43" spans="5:7" x14ac:dyDescent="0.35">
      <c r="E43" t="s">
        <v>58</v>
      </c>
      <c r="F43">
        <v>4.3899999999999997</v>
      </c>
      <c r="G43">
        <v>7</v>
      </c>
    </row>
    <row r="44" spans="5:7" x14ac:dyDescent="0.35">
      <c r="E44" t="s">
        <v>45</v>
      </c>
      <c r="F44">
        <v>3.2945454545454549</v>
      </c>
      <c r="G44">
        <v>7.6909090909090914</v>
      </c>
    </row>
    <row r="45" spans="5:7" x14ac:dyDescent="0.35">
      <c r="E45" t="s">
        <v>51</v>
      </c>
      <c r="F45">
        <v>5.0118181818181817</v>
      </c>
      <c r="G45">
        <v>4.7827272727272723</v>
      </c>
    </row>
    <row r="46" spans="5:7" x14ac:dyDescent="0.35">
      <c r="E46" t="s">
        <v>60</v>
      </c>
      <c r="F46">
        <v>3.6914285714285713</v>
      </c>
      <c r="G46">
        <v>7.5485714285714289</v>
      </c>
    </row>
    <row r="47" spans="5:7" x14ac:dyDescent="0.35">
      <c r="E47" t="s">
        <v>64</v>
      </c>
      <c r="F47">
        <v>4.75</v>
      </c>
      <c r="G47">
        <v>7.5</v>
      </c>
    </row>
    <row r="48" spans="5:7" x14ac:dyDescent="0.35">
      <c r="E48" t="s">
        <v>17</v>
      </c>
      <c r="F48">
        <v>4.1618181818181821</v>
      </c>
      <c r="G48">
        <v>6.1536363636363633</v>
      </c>
    </row>
    <row r="49" spans="5:7" x14ac:dyDescent="0.35">
      <c r="E49" t="s">
        <v>21</v>
      </c>
      <c r="F49">
        <v>5.109</v>
      </c>
      <c r="G49">
        <v>4.5220000000000002</v>
      </c>
    </row>
    <row r="50" spans="5:7" x14ac:dyDescent="0.35">
      <c r="E50" t="s">
        <v>59</v>
      </c>
      <c r="F50">
        <v>4.5216666666666665</v>
      </c>
      <c r="G50">
        <v>7</v>
      </c>
    </row>
    <row r="51" spans="5:7" x14ac:dyDescent="0.35">
      <c r="E51" t="s">
        <v>65</v>
      </c>
      <c r="F51">
        <v>5.1033333333333335</v>
      </c>
      <c r="G51">
        <v>6.4466666666666663</v>
      </c>
    </row>
    <row r="52" spans="5:7" x14ac:dyDescent="0.35">
      <c r="E52" t="s">
        <v>61</v>
      </c>
      <c r="F52">
        <v>2.4500000000000002</v>
      </c>
      <c r="G52">
        <v>4.8499999999999996</v>
      </c>
    </row>
    <row r="53" spans="5:7" x14ac:dyDescent="0.35">
      <c r="E53" t="s">
        <v>25</v>
      </c>
      <c r="F53">
        <v>4.7481818181818181</v>
      </c>
      <c r="G53">
        <v>5.9209090909090918</v>
      </c>
    </row>
    <row r="54" spans="5:7" x14ac:dyDescent="0.35">
      <c r="E54" t="s">
        <v>29</v>
      </c>
      <c r="F54">
        <v>5.503636363636363</v>
      </c>
      <c r="G54">
        <v>5.7981818181818179</v>
      </c>
    </row>
    <row r="55" spans="5:7" x14ac:dyDescent="0.35">
      <c r="E55" t="s">
        <v>34</v>
      </c>
      <c r="F55">
        <v>5.3827272727272728</v>
      </c>
      <c r="G55">
        <v>5.4827272727272733</v>
      </c>
    </row>
    <row r="56" spans="5:7" x14ac:dyDescent="0.35">
      <c r="E56" t="s">
        <v>38</v>
      </c>
      <c r="F56">
        <v>5.500909090909091</v>
      </c>
      <c r="G56">
        <v>6.0645454545454553</v>
      </c>
    </row>
    <row r="57" spans="5:7" x14ac:dyDescent="0.35">
      <c r="E57" t="s">
        <v>76</v>
      </c>
      <c r="F57">
        <v>5.17</v>
      </c>
      <c r="G57">
        <v>6.6274999999999995</v>
      </c>
    </row>
    <row r="58" spans="5:7" x14ac:dyDescent="0.35">
      <c r="E58" t="s">
        <v>42</v>
      </c>
      <c r="F58">
        <v>5.5559999999999992</v>
      </c>
      <c r="G58">
        <v>5.6080000000000005</v>
      </c>
    </row>
    <row r="59" spans="5:7" x14ac:dyDescent="0.35">
      <c r="E59" t="s">
        <v>46</v>
      </c>
      <c r="F59">
        <v>4.9950000000000001</v>
      </c>
      <c r="G59">
        <v>6.0666666666666673</v>
      </c>
    </row>
    <row r="60" spans="5:7" x14ac:dyDescent="0.35">
      <c r="E60" t="s">
        <v>47</v>
      </c>
      <c r="F60">
        <v>5.226</v>
      </c>
      <c r="G60">
        <v>5.0460000000000003</v>
      </c>
    </row>
    <row r="61" spans="5:7" x14ac:dyDescent="0.35">
      <c r="E61" t="s">
        <v>55</v>
      </c>
      <c r="F61">
        <v>4.7200000000000006</v>
      </c>
      <c r="G61">
        <v>5.5</v>
      </c>
    </row>
    <row r="62" spans="5:7" x14ac:dyDescent="0.35">
      <c r="E62" t="s">
        <v>73</v>
      </c>
      <c r="F62">
        <v>2.1124999999999998</v>
      </c>
      <c r="G62">
        <v>4.9749999999999996</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596D-A5F7-4023-9290-152B9AD16DED}">
  <sheetPr codeName="Sheet9"/>
  <dimension ref="A1:J410"/>
  <sheetViews>
    <sheetView workbookViewId="0"/>
  </sheetViews>
  <sheetFormatPr defaultColWidth="15.81640625" defaultRowHeight="14.5" x14ac:dyDescent="0.35"/>
  <sheetData>
    <row r="1" spans="1:10" x14ac:dyDescent="0.35">
      <c r="A1" t="s">
        <v>1</v>
      </c>
      <c r="B1" t="s">
        <v>102</v>
      </c>
      <c r="C1" t="s">
        <v>100</v>
      </c>
      <c r="D1" t="s">
        <v>101</v>
      </c>
      <c r="E1" t="s">
        <v>99</v>
      </c>
      <c r="F1" t="s">
        <v>5</v>
      </c>
      <c r="G1" t="s">
        <v>6</v>
      </c>
      <c r="H1" t="s">
        <v>98</v>
      </c>
      <c r="I1" t="s">
        <v>8</v>
      </c>
      <c r="J1" t="s">
        <v>11</v>
      </c>
    </row>
    <row r="2" spans="1:10" x14ac:dyDescent="0.35">
      <c r="A2" t="s">
        <v>13</v>
      </c>
      <c r="B2" t="s">
        <v>16</v>
      </c>
      <c r="C2">
        <v>0</v>
      </c>
      <c r="D2" t="str">
        <f>IF(C2&lt;5,"&lt;5 Years",IF(C2&lt;=10,"5-10 Years","&gt;10 Years"))</f>
        <v>&lt;5 Years</v>
      </c>
      <c r="E2">
        <v>226</v>
      </c>
      <c r="F2">
        <v>3.7</v>
      </c>
      <c r="G2">
        <v>7</v>
      </c>
      <c r="H2">
        <v>1571</v>
      </c>
      <c r="I2">
        <v>1050</v>
      </c>
      <c r="J2">
        <v>2008</v>
      </c>
    </row>
    <row r="3" spans="1:10" x14ac:dyDescent="0.35">
      <c r="A3" t="s">
        <v>13</v>
      </c>
      <c r="B3" t="s">
        <v>17</v>
      </c>
      <c r="C3">
        <v>7.5</v>
      </c>
      <c r="D3" t="str">
        <f t="shared" ref="D3:D66" si="0">IF(C3&lt;5,"&lt;5 Years",IF(C3&lt;=10,"5-10 Years","&gt;10 Years"))</f>
        <v>5-10 Years</v>
      </c>
      <c r="E3">
        <v>532</v>
      </c>
      <c r="F3">
        <v>4.0999999999999996</v>
      </c>
      <c r="G3">
        <v>896</v>
      </c>
      <c r="H3">
        <v>13121</v>
      </c>
      <c r="I3">
        <v>2877</v>
      </c>
      <c r="J3">
        <v>2008</v>
      </c>
    </row>
    <row r="4" spans="1:10" x14ac:dyDescent="0.35">
      <c r="A4" t="s">
        <v>13</v>
      </c>
      <c r="B4" t="s">
        <v>18</v>
      </c>
      <c r="C4">
        <v>8</v>
      </c>
      <c r="D4" t="str">
        <f t="shared" si="0"/>
        <v>5-10 Years</v>
      </c>
      <c r="E4">
        <v>57</v>
      </c>
      <c r="F4">
        <v>3.3</v>
      </c>
      <c r="G4">
        <v>1</v>
      </c>
      <c r="H4">
        <v>184</v>
      </c>
      <c r="I4">
        <v>680</v>
      </c>
      <c r="J4">
        <v>2008</v>
      </c>
    </row>
    <row r="5" spans="1:10" x14ac:dyDescent="0.35">
      <c r="A5" t="s">
        <v>13</v>
      </c>
      <c r="B5" t="s">
        <v>19</v>
      </c>
      <c r="C5">
        <v>6.4</v>
      </c>
      <c r="D5" t="str">
        <f t="shared" si="0"/>
        <v>5-10 Years</v>
      </c>
      <c r="E5">
        <v>3260</v>
      </c>
      <c r="F5">
        <v>4.2</v>
      </c>
      <c r="G5">
        <v>17432</v>
      </c>
      <c r="H5">
        <v>166683</v>
      </c>
      <c r="I5">
        <v>22594</v>
      </c>
      <c r="J5">
        <v>2008</v>
      </c>
    </row>
    <row r="6" spans="1:10" x14ac:dyDescent="0.35">
      <c r="A6" t="s">
        <v>13</v>
      </c>
      <c r="B6" t="s">
        <v>20</v>
      </c>
      <c r="C6">
        <v>0</v>
      </c>
      <c r="D6" t="str">
        <f t="shared" si="0"/>
        <v>&lt;5 Years</v>
      </c>
      <c r="E6">
        <v>62</v>
      </c>
      <c r="F6">
        <v>4.2</v>
      </c>
      <c r="G6">
        <v>4</v>
      </c>
      <c r="H6">
        <v>610</v>
      </c>
      <c r="I6">
        <v>360</v>
      </c>
      <c r="J6">
        <v>2008</v>
      </c>
    </row>
    <row r="7" spans="1:10" x14ac:dyDescent="0.35">
      <c r="A7" t="s">
        <v>13</v>
      </c>
      <c r="B7" t="s">
        <v>21</v>
      </c>
      <c r="C7">
        <v>5</v>
      </c>
      <c r="D7" t="str">
        <f t="shared" si="0"/>
        <v>5-10 Years</v>
      </c>
      <c r="E7">
        <v>998</v>
      </c>
      <c r="F7">
        <v>4.9000000000000004</v>
      </c>
      <c r="G7">
        <v>290</v>
      </c>
      <c r="H7">
        <v>64488</v>
      </c>
      <c r="I7">
        <v>7591</v>
      </c>
      <c r="J7">
        <v>2008</v>
      </c>
    </row>
    <row r="8" spans="1:10" x14ac:dyDescent="0.35">
      <c r="A8" t="s">
        <v>13</v>
      </c>
      <c r="B8" t="s">
        <v>22</v>
      </c>
      <c r="C8">
        <v>5.9</v>
      </c>
      <c r="D8" t="str">
        <f t="shared" si="0"/>
        <v>5-10 Years</v>
      </c>
      <c r="E8">
        <v>15695</v>
      </c>
      <c r="F8">
        <v>4.9000000000000004</v>
      </c>
      <c r="G8">
        <v>23990</v>
      </c>
      <c r="H8">
        <v>531887</v>
      </c>
      <c r="I8">
        <v>97943</v>
      </c>
      <c r="J8">
        <v>2008</v>
      </c>
    </row>
    <row r="9" spans="1:10" x14ac:dyDescent="0.35">
      <c r="A9" t="s">
        <v>13</v>
      </c>
      <c r="B9" t="s">
        <v>24</v>
      </c>
      <c r="C9">
        <v>4.5</v>
      </c>
      <c r="D9" t="str">
        <f t="shared" si="0"/>
        <v>&lt;5 Years</v>
      </c>
      <c r="E9">
        <v>6787</v>
      </c>
      <c r="F9">
        <v>4.9000000000000004</v>
      </c>
      <c r="G9">
        <v>8116</v>
      </c>
      <c r="H9">
        <v>297991</v>
      </c>
      <c r="I9">
        <v>32100</v>
      </c>
      <c r="J9">
        <v>2008</v>
      </c>
    </row>
    <row r="10" spans="1:10" x14ac:dyDescent="0.35">
      <c r="A10" t="s">
        <v>13</v>
      </c>
      <c r="B10" t="s">
        <v>25</v>
      </c>
      <c r="C10">
        <v>5</v>
      </c>
      <c r="D10" t="str">
        <f t="shared" si="0"/>
        <v>5-10 Years</v>
      </c>
      <c r="E10">
        <v>2876</v>
      </c>
      <c r="F10">
        <v>5</v>
      </c>
      <c r="G10">
        <v>11302</v>
      </c>
      <c r="H10">
        <v>226758</v>
      </c>
      <c r="I10">
        <v>17903</v>
      </c>
      <c r="J10">
        <v>2008</v>
      </c>
    </row>
    <row r="11" spans="1:10" x14ac:dyDescent="0.35">
      <c r="A11" t="s">
        <v>13</v>
      </c>
      <c r="B11" t="s">
        <v>29</v>
      </c>
      <c r="C11">
        <v>5.5</v>
      </c>
      <c r="D11" t="str">
        <f t="shared" si="0"/>
        <v>5-10 Years</v>
      </c>
      <c r="E11">
        <v>3399</v>
      </c>
      <c r="F11">
        <v>5.5</v>
      </c>
      <c r="G11">
        <v>11432</v>
      </c>
      <c r="H11">
        <v>275786</v>
      </c>
      <c r="I11">
        <v>22669</v>
      </c>
      <c r="J11">
        <v>2008</v>
      </c>
    </row>
    <row r="12" spans="1:10" x14ac:dyDescent="0.35">
      <c r="A12" t="s">
        <v>13</v>
      </c>
      <c r="B12" t="s">
        <v>30</v>
      </c>
      <c r="C12">
        <v>4</v>
      </c>
      <c r="D12" t="str">
        <f t="shared" si="0"/>
        <v>&lt;5 Years</v>
      </c>
      <c r="E12">
        <v>3299</v>
      </c>
      <c r="F12">
        <v>4.9000000000000004</v>
      </c>
      <c r="G12">
        <v>3935</v>
      </c>
      <c r="H12">
        <v>143301</v>
      </c>
      <c r="I12">
        <v>18321</v>
      </c>
      <c r="J12">
        <v>2008</v>
      </c>
    </row>
    <row r="13" spans="1:10" x14ac:dyDescent="0.35">
      <c r="A13" t="s">
        <v>13</v>
      </c>
      <c r="B13" t="s">
        <v>31</v>
      </c>
      <c r="C13">
        <v>7.1</v>
      </c>
      <c r="D13" t="str">
        <f t="shared" si="0"/>
        <v>5-10 Years</v>
      </c>
      <c r="E13">
        <v>9082</v>
      </c>
      <c r="F13">
        <v>5.5</v>
      </c>
      <c r="G13">
        <v>8749</v>
      </c>
      <c r="H13">
        <v>334298</v>
      </c>
      <c r="I13">
        <v>41667</v>
      </c>
      <c r="J13">
        <v>2008</v>
      </c>
    </row>
    <row r="14" spans="1:10" x14ac:dyDescent="0.35">
      <c r="A14" t="s">
        <v>13</v>
      </c>
      <c r="B14" t="s">
        <v>32</v>
      </c>
      <c r="C14">
        <v>3.1</v>
      </c>
      <c r="D14" t="str">
        <f t="shared" si="0"/>
        <v>&lt;5 Years</v>
      </c>
      <c r="E14">
        <v>3805</v>
      </c>
      <c r="F14">
        <v>4</v>
      </c>
      <c r="G14">
        <v>8254</v>
      </c>
      <c r="H14">
        <v>83987</v>
      </c>
      <c r="I14">
        <v>28551</v>
      </c>
      <c r="J14">
        <v>2008</v>
      </c>
    </row>
    <row r="15" spans="1:10" x14ac:dyDescent="0.35">
      <c r="A15" t="s">
        <v>13</v>
      </c>
      <c r="B15" t="s">
        <v>33</v>
      </c>
      <c r="C15">
        <v>5</v>
      </c>
      <c r="D15" t="str">
        <f t="shared" si="0"/>
        <v>5-10 Years</v>
      </c>
      <c r="E15">
        <v>406</v>
      </c>
      <c r="F15">
        <v>4.0999999999999996</v>
      </c>
      <c r="G15">
        <v>773</v>
      </c>
      <c r="H15">
        <v>21822</v>
      </c>
      <c r="I15">
        <v>2172</v>
      </c>
      <c r="J15">
        <v>2008</v>
      </c>
    </row>
    <row r="16" spans="1:10" x14ac:dyDescent="0.35">
      <c r="A16" t="s">
        <v>13</v>
      </c>
      <c r="B16" t="s">
        <v>34</v>
      </c>
      <c r="C16">
        <v>6</v>
      </c>
      <c r="D16" t="str">
        <f t="shared" si="0"/>
        <v>5-10 Years</v>
      </c>
      <c r="E16">
        <v>3941</v>
      </c>
      <c r="F16">
        <v>5.2</v>
      </c>
      <c r="G16">
        <v>15279</v>
      </c>
      <c r="H16">
        <v>330468</v>
      </c>
      <c r="I16">
        <v>24404</v>
      </c>
      <c r="J16">
        <v>2008</v>
      </c>
    </row>
    <row r="17" spans="1:10" x14ac:dyDescent="0.35">
      <c r="A17" t="s">
        <v>13</v>
      </c>
      <c r="B17" t="s">
        <v>35</v>
      </c>
      <c r="C17">
        <v>6.6</v>
      </c>
      <c r="D17" t="str">
        <f t="shared" si="0"/>
        <v>5-10 Years</v>
      </c>
      <c r="E17">
        <v>1029</v>
      </c>
      <c r="F17">
        <v>3.6</v>
      </c>
      <c r="G17">
        <v>1736</v>
      </c>
      <c r="H17">
        <v>16830</v>
      </c>
      <c r="I17">
        <v>6710</v>
      </c>
      <c r="J17">
        <v>2008</v>
      </c>
    </row>
    <row r="18" spans="1:10" x14ac:dyDescent="0.35">
      <c r="A18" t="s">
        <v>13</v>
      </c>
      <c r="B18" t="s">
        <v>36</v>
      </c>
      <c r="C18">
        <v>7</v>
      </c>
      <c r="D18" t="str">
        <f t="shared" si="0"/>
        <v>5-10 Years</v>
      </c>
      <c r="E18">
        <v>612</v>
      </c>
      <c r="F18">
        <v>3.9</v>
      </c>
      <c r="G18">
        <v>67</v>
      </c>
      <c r="H18">
        <v>6078</v>
      </c>
      <c r="I18">
        <v>2307</v>
      </c>
      <c r="J18">
        <v>2008</v>
      </c>
    </row>
    <row r="19" spans="1:10" x14ac:dyDescent="0.35">
      <c r="A19" t="s">
        <v>13</v>
      </c>
      <c r="B19" t="s">
        <v>37</v>
      </c>
      <c r="C19">
        <v>4.2</v>
      </c>
      <c r="D19" t="str">
        <f t="shared" si="0"/>
        <v>&lt;5 Years</v>
      </c>
      <c r="E19">
        <v>5155</v>
      </c>
      <c r="F19">
        <v>4.4000000000000004</v>
      </c>
      <c r="G19">
        <v>14085</v>
      </c>
      <c r="H19">
        <v>171534</v>
      </c>
      <c r="I19">
        <v>27648</v>
      </c>
      <c r="J19">
        <v>2008</v>
      </c>
    </row>
    <row r="20" spans="1:10" x14ac:dyDescent="0.35">
      <c r="A20" t="s">
        <v>13</v>
      </c>
      <c r="B20" t="s">
        <v>38</v>
      </c>
      <c r="C20">
        <v>4.5</v>
      </c>
      <c r="D20" t="str">
        <f t="shared" si="0"/>
        <v>&lt;5 Years</v>
      </c>
      <c r="E20">
        <v>1941</v>
      </c>
      <c r="F20">
        <v>5.4</v>
      </c>
      <c r="G20">
        <v>6464</v>
      </c>
      <c r="H20">
        <v>161250</v>
      </c>
      <c r="I20">
        <v>12146</v>
      </c>
      <c r="J20">
        <v>2008</v>
      </c>
    </row>
    <row r="21" spans="1:10" x14ac:dyDescent="0.35">
      <c r="A21" t="s">
        <v>13</v>
      </c>
      <c r="B21" t="s">
        <v>39</v>
      </c>
      <c r="C21">
        <v>5.5</v>
      </c>
      <c r="D21" t="str">
        <f t="shared" si="0"/>
        <v>5-10 Years</v>
      </c>
      <c r="E21">
        <v>3867</v>
      </c>
      <c r="F21">
        <v>3</v>
      </c>
      <c r="G21">
        <v>15986</v>
      </c>
      <c r="H21">
        <v>123309</v>
      </c>
      <c r="I21">
        <v>30924</v>
      </c>
      <c r="J21">
        <v>2008</v>
      </c>
    </row>
    <row r="22" spans="1:10" x14ac:dyDescent="0.35">
      <c r="A22" t="s">
        <v>13</v>
      </c>
      <c r="B22" t="s">
        <v>44</v>
      </c>
      <c r="C22">
        <v>11</v>
      </c>
      <c r="D22" t="str">
        <f t="shared" si="0"/>
        <v>&gt;10 Years</v>
      </c>
      <c r="E22">
        <v>953</v>
      </c>
      <c r="F22">
        <v>3.5</v>
      </c>
      <c r="G22">
        <v>3088</v>
      </c>
      <c r="H22">
        <v>21483</v>
      </c>
      <c r="I22">
        <v>5727</v>
      </c>
      <c r="J22">
        <v>2008</v>
      </c>
    </row>
    <row r="23" spans="1:10" x14ac:dyDescent="0.35">
      <c r="A23" t="s">
        <v>13</v>
      </c>
      <c r="B23" t="s">
        <v>45</v>
      </c>
      <c r="C23">
        <v>8.5</v>
      </c>
      <c r="D23" t="str">
        <f t="shared" si="0"/>
        <v>5-10 Years</v>
      </c>
      <c r="E23">
        <v>1426</v>
      </c>
      <c r="F23">
        <v>3.5</v>
      </c>
      <c r="G23">
        <v>3545</v>
      </c>
      <c r="H23">
        <v>31743</v>
      </c>
      <c r="I23">
        <v>10042</v>
      </c>
      <c r="J23">
        <v>2008</v>
      </c>
    </row>
    <row r="24" spans="1:10" x14ac:dyDescent="0.35">
      <c r="A24" t="s">
        <v>13</v>
      </c>
      <c r="B24" t="s">
        <v>48</v>
      </c>
      <c r="C24">
        <v>9</v>
      </c>
      <c r="D24" t="str">
        <f t="shared" si="0"/>
        <v>5-10 Years</v>
      </c>
      <c r="E24">
        <v>296</v>
      </c>
      <c r="F24">
        <v>4.4000000000000004</v>
      </c>
      <c r="G24">
        <v>57</v>
      </c>
      <c r="H24">
        <v>179114</v>
      </c>
      <c r="I24">
        <v>1065</v>
      </c>
      <c r="J24">
        <v>2008</v>
      </c>
    </row>
    <row r="25" spans="1:10" x14ac:dyDescent="0.35">
      <c r="A25" t="s">
        <v>13</v>
      </c>
      <c r="B25" t="s">
        <v>49</v>
      </c>
      <c r="C25">
        <v>5.9</v>
      </c>
      <c r="D25" t="str">
        <f t="shared" si="0"/>
        <v>5-10 Years</v>
      </c>
      <c r="E25">
        <v>4793</v>
      </c>
      <c r="F25">
        <v>5.0999999999999996</v>
      </c>
      <c r="G25">
        <v>7665</v>
      </c>
      <c r="H25">
        <v>99280</v>
      </c>
      <c r="I25">
        <v>25309</v>
      </c>
      <c r="J25">
        <v>2008</v>
      </c>
    </row>
    <row r="26" spans="1:10" x14ac:dyDescent="0.35">
      <c r="A26" t="s">
        <v>13</v>
      </c>
      <c r="B26" t="s">
        <v>50</v>
      </c>
      <c r="C26">
        <v>5.2</v>
      </c>
      <c r="D26" t="str">
        <f t="shared" si="0"/>
        <v>5-10 Years</v>
      </c>
      <c r="E26">
        <v>2830</v>
      </c>
      <c r="F26">
        <v>5.3</v>
      </c>
      <c r="G26">
        <v>3610</v>
      </c>
      <c r="H26">
        <v>14359</v>
      </c>
      <c r="I26">
        <v>13793</v>
      </c>
      <c r="J26">
        <v>2008</v>
      </c>
    </row>
    <row r="27" spans="1:10" x14ac:dyDescent="0.35">
      <c r="A27" t="s">
        <v>13</v>
      </c>
      <c r="B27" t="s">
        <v>51</v>
      </c>
      <c r="C27">
        <v>4.9000000000000004</v>
      </c>
      <c r="D27" t="str">
        <f t="shared" si="0"/>
        <v>&lt;5 Years</v>
      </c>
      <c r="E27">
        <v>4537</v>
      </c>
      <c r="F27">
        <v>5</v>
      </c>
      <c r="G27">
        <v>3699</v>
      </c>
      <c r="H27">
        <v>215709</v>
      </c>
      <c r="I27">
        <v>20615</v>
      </c>
      <c r="J27">
        <v>2008</v>
      </c>
    </row>
    <row r="28" spans="1:10" x14ac:dyDescent="0.35">
      <c r="A28" t="s">
        <v>13</v>
      </c>
      <c r="B28" t="s">
        <v>52</v>
      </c>
      <c r="C28">
        <v>7</v>
      </c>
      <c r="D28" t="str">
        <f t="shared" si="0"/>
        <v>5-10 Years</v>
      </c>
      <c r="E28">
        <v>791</v>
      </c>
      <c r="F28">
        <v>4</v>
      </c>
      <c r="G28">
        <v>1032</v>
      </c>
      <c r="H28">
        <v>1571</v>
      </c>
      <c r="I28">
        <v>4563</v>
      </c>
      <c r="J28">
        <v>2008</v>
      </c>
    </row>
    <row r="29" spans="1:10" x14ac:dyDescent="0.35">
      <c r="A29" t="s">
        <v>53</v>
      </c>
      <c r="B29" t="s">
        <v>29</v>
      </c>
      <c r="C29">
        <v>5.5</v>
      </c>
      <c r="D29" t="str">
        <f t="shared" si="0"/>
        <v>5-10 Years</v>
      </c>
      <c r="E29">
        <v>3541</v>
      </c>
      <c r="F29">
        <v>5</v>
      </c>
      <c r="G29">
        <v>11873</v>
      </c>
      <c r="H29">
        <v>289783</v>
      </c>
      <c r="I29">
        <v>22921</v>
      </c>
      <c r="J29">
        <v>2009</v>
      </c>
    </row>
    <row r="30" spans="1:10" x14ac:dyDescent="0.35">
      <c r="A30" t="s">
        <v>53</v>
      </c>
      <c r="B30" t="s">
        <v>34</v>
      </c>
      <c r="C30">
        <v>5</v>
      </c>
      <c r="D30" t="str">
        <f t="shared" si="0"/>
        <v>5-10 Years</v>
      </c>
      <c r="E30">
        <v>4053</v>
      </c>
      <c r="F30">
        <v>5.5</v>
      </c>
      <c r="G30">
        <v>15605</v>
      </c>
      <c r="H30">
        <v>367047</v>
      </c>
      <c r="I30">
        <v>25358</v>
      </c>
      <c r="J30">
        <v>2009</v>
      </c>
    </row>
    <row r="31" spans="1:10" x14ac:dyDescent="0.35">
      <c r="A31" t="s">
        <v>53</v>
      </c>
      <c r="B31" t="s">
        <v>38</v>
      </c>
      <c r="C31">
        <v>5.7</v>
      </c>
      <c r="D31" t="str">
        <f t="shared" si="0"/>
        <v>5-10 Years</v>
      </c>
      <c r="E31">
        <v>2055</v>
      </c>
      <c r="F31">
        <v>5.4</v>
      </c>
      <c r="G31">
        <v>6680</v>
      </c>
      <c r="H31">
        <v>171109</v>
      </c>
      <c r="I31">
        <v>12724</v>
      </c>
      <c r="J31">
        <v>2009</v>
      </c>
    </row>
    <row r="32" spans="1:10" x14ac:dyDescent="0.35">
      <c r="A32" t="s">
        <v>53</v>
      </c>
      <c r="B32" t="s">
        <v>42</v>
      </c>
      <c r="C32">
        <v>3.8</v>
      </c>
      <c r="D32" t="str">
        <f t="shared" si="0"/>
        <v>&lt;5 Years</v>
      </c>
      <c r="E32">
        <v>3237</v>
      </c>
      <c r="F32">
        <v>5.4</v>
      </c>
      <c r="G32">
        <v>10330</v>
      </c>
      <c r="H32">
        <v>306638</v>
      </c>
      <c r="I32">
        <v>21118</v>
      </c>
      <c r="J32">
        <v>2009</v>
      </c>
    </row>
    <row r="33" spans="1:10" x14ac:dyDescent="0.35">
      <c r="A33" t="s">
        <v>53</v>
      </c>
      <c r="B33" t="s">
        <v>46</v>
      </c>
      <c r="C33">
        <v>4.5</v>
      </c>
      <c r="D33" t="str">
        <f t="shared" si="0"/>
        <v>&lt;5 Years</v>
      </c>
      <c r="E33">
        <v>39</v>
      </c>
      <c r="F33">
        <v>5.5</v>
      </c>
      <c r="G33">
        <v>12</v>
      </c>
      <c r="H33">
        <v>606</v>
      </c>
      <c r="I33">
        <v>506</v>
      </c>
      <c r="J33">
        <v>2009</v>
      </c>
    </row>
    <row r="34" spans="1:10" x14ac:dyDescent="0.35">
      <c r="A34" t="s">
        <v>53</v>
      </c>
      <c r="B34" t="s">
        <v>44</v>
      </c>
      <c r="C34">
        <v>7.4</v>
      </c>
      <c r="D34" t="str">
        <f t="shared" si="0"/>
        <v>5-10 Years</v>
      </c>
      <c r="E34">
        <v>966</v>
      </c>
      <c r="F34">
        <v>3.5</v>
      </c>
      <c r="G34">
        <v>2986</v>
      </c>
      <c r="H34">
        <v>21150</v>
      </c>
      <c r="I34">
        <v>5592</v>
      </c>
      <c r="J34">
        <v>2009</v>
      </c>
    </row>
    <row r="35" spans="1:10" x14ac:dyDescent="0.35">
      <c r="A35" t="s">
        <v>53</v>
      </c>
      <c r="B35" t="s">
        <v>39</v>
      </c>
      <c r="C35">
        <v>5.5</v>
      </c>
      <c r="D35" t="str">
        <f t="shared" si="0"/>
        <v>5-10 Years</v>
      </c>
      <c r="E35">
        <v>4078</v>
      </c>
      <c r="F35">
        <v>2.9</v>
      </c>
      <c r="G35">
        <v>15953</v>
      </c>
      <c r="H35">
        <v>127566</v>
      </c>
      <c r="I35">
        <v>29494</v>
      </c>
      <c r="J35">
        <v>2009</v>
      </c>
    </row>
    <row r="36" spans="1:10" x14ac:dyDescent="0.35">
      <c r="A36" t="s">
        <v>53</v>
      </c>
      <c r="B36" t="s">
        <v>37</v>
      </c>
      <c r="C36">
        <v>3.9</v>
      </c>
      <c r="D36" t="str">
        <f t="shared" si="0"/>
        <v>&lt;5 Years</v>
      </c>
      <c r="E36">
        <v>5715</v>
      </c>
      <c r="F36">
        <v>4.0999999999999996</v>
      </c>
      <c r="G36">
        <v>14708</v>
      </c>
      <c r="H36">
        <v>182917</v>
      </c>
      <c r="I36">
        <v>30996</v>
      </c>
      <c r="J36">
        <v>2009</v>
      </c>
    </row>
    <row r="37" spans="1:10" x14ac:dyDescent="0.35">
      <c r="A37" t="s">
        <v>53</v>
      </c>
      <c r="B37" t="s">
        <v>36</v>
      </c>
      <c r="C37">
        <v>6.8</v>
      </c>
      <c r="D37" t="str">
        <f t="shared" si="0"/>
        <v>5-10 Years</v>
      </c>
      <c r="E37">
        <v>424</v>
      </c>
      <c r="F37">
        <v>4</v>
      </c>
      <c r="G37">
        <v>47</v>
      </c>
      <c r="H37">
        <v>3825</v>
      </c>
      <c r="I37">
        <v>2036</v>
      </c>
      <c r="J37">
        <v>2009</v>
      </c>
    </row>
    <row r="38" spans="1:10" x14ac:dyDescent="0.35">
      <c r="A38" t="s">
        <v>53</v>
      </c>
      <c r="B38" t="s">
        <v>35</v>
      </c>
      <c r="C38">
        <v>6.1</v>
      </c>
      <c r="D38" t="str">
        <f t="shared" si="0"/>
        <v>5-10 Years</v>
      </c>
      <c r="E38">
        <v>977</v>
      </c>
      <c r="F38">
        <v>3.5</v>
      </c>
      <c r="G38">
        <v>1854</v>
      </c>
      <c r="H38">
        <v>19128</v>
      </c>
      <c r="I38">
        <v>6719</v>
      </c>
      <c r="J38">
        <v>2009</v>
      </c>
    </row>
    <row r="39" spans="1:10" x14ac:dyDescent="0.35">
      <c r="A39" t="s">
        <v>53</v>
      </c>
      <c r="B39" t="s">
        <v>33</v>
      </c>
      <c r="C39">
        <v>3</v>
      </c>
      <c r="D39" t="str">
        <f t="shared" si="0"/>
        <v>&lt;5 Years</v>
      </c>
      <c r="E39">
        <v>409</v>
      </c>
      <c r="F39">
        <v>4</v>
      </c>
      <c r="G39">
        <v>671</v>
      </c>
      <c r="H39">
        <v>18819</v>
      </c>
      <c r="I39">
        <v>2096</v>
      </c>
      <c r="J39">
        <v>2009</v>
      </c>
    </row>
    <row r="40" spans="1:10" x14ac:dyDescent="0.35">
      <c r="A40" t="s">
        <v>53</v>
      </c>
      <c r="B40" t="s">
        <v>32</v>
      </c>
      <c r="C40">
        <v>5.7</v>
      </c>
      <c r="D40" t="str">
        <f t="shared" si="0"/>
        <v>5-10 Years</v>
      </c>
      <c r="E40">
        <v>3841</v>
      </c>
      <c r="F40">
        <v>4.2</v>
      </c>
      <c r="G40">
        <v>8817</v>
      </c>
      <c r="H40">
        <v>95069</v>
      </c>
      <c r="I40">
        <v>29180</v>
      </c>
      <c r="J40">
        <v>2009</v>
      </c>
    </row>
    <row r="41" spans="1:10" x14ac:dyDescent="0.35">
      <c r="A41" t="s">
        <v>53</v>
      </c>
      <c r="B41" t="s">
        <v>31</v>
      </c>
      <c r="C41">
        <v>6.9</v>
      </c>
      <c r="D41" t="str">
        <f t="shared" si="0"/>
        <v>5-10 Years</v>
      </c>
      <c r="E41">
        <v>7643</v>
      </c>
      <c r="F41">
        <v>5.6</v>
      </c>
      <c r="G41">
        <v>8483</v>
      </c>
      <c r="H41">
        <v>330395</v>
      </c>
      <c r="I41">
        <v>40073</v>
      </c>
      <c r="J41">
        <v>2009</v>
      </c>
    </row>
    <row r="42" spans="1:10" x14ac:dyDescent="0.35">
      <c r="A42" t="s">
        <v>53</v>
      </c>
      <c r="B42" t="s">
        <v>24</v>
      </c>
      <c r="C42">
        <v>3.2</v>
      </c>
      <c r="D42" t="str">
        <f t="shared" si="0"/>
        <v>&lt;5 Years</v>
      </c>
      <c r="E42">
        <v>7002</v>
      </c>
      <c r="F42">
        <v>4.8</v>
      </c>
      <c r="G42">
        <v>8634</v>
      </c>
      <c r="H42">
        <v>304596</v>
      </c>
      <c r="I42">
        <v>31995</v>
      </c>
      <c r="J42">
        <v>2009</v>
      </c>
    </row>
    <row r="43" spans="1:10" x14ac:dyDescent="0.35">
      <c r="A43" t="s">
        <v>53</v>
      </c>
      <c r="B43" t="s">
        <v>22</v>
      </c>
      <c r="C43">
        <v>4.0999999999999996</v>
      </c>
      <c r="D43" t="str">
        <f t="shared" si="0"/>
        <v>&lt;5 Years</v>
      </c>
      <c r="E43">
        <v>15955</v>
      </c>
      <c r="F43">
        <v>5</v>
      </c>
      <c r="G43">
        <v>23799</v>
      </c>
      <c r="H43">
        <v>533655</v>
      </c>
      <c r="I43">
        <v>101138</v>
      </c>
      <c r="J43">
        <v>2009</v>
      </c>
    </row>
    <row r="44" spans="1:10" x14ac:dyDescent="0.35">
      <c r="A44" t="s">
        <v>53</v>
      </c>
      <c r="B44" t="s">
        <v>20</v>
      </c>
      <c r="C44">
        <v>8</v>
      </c>
      <c r="D44" t="str">
        <f t="shared" si="0"/>
        <v>5-10 Years</v>
      </c>
      <c r="E44">
        <v>62</v>
      </c>
      <c r="F44">
        <v>4.2</v>
      </c>
      <c r="G44">
        <v>6</v>
      </c>
      <c r="H44">
        <v>543</v>
      </c>
      <c r="I44">
        <v>344</v>
      </c>
      <c r="J44">
        <v>2009</v>
      </c>
    </row>
    <row r="45" spans="1:10" x14ac:dyDescent="0.35">
      <c r="A45" t="s">
        <v>53</v>
      </c>
      <c r="B45" t="s">
        <v>19</v>
      </c>
      <c r="C45">
        <v>2.2000000000000002</v>
      </c>
      <c r="D45" t="str">
        <f t="shared" si="0"/>
        <v>&lt;5 Years</v>
      </c>
      <c r="E45">
        <v>3262</v>
      </c>
      <c r="F45">
        <v>4.5</v>
      </c>
      <c r="G45">
        <v>18998</v>
      </c>
      <c r="H45">
        <v>194688</v>
      </c>
      <c r="I45">
        <v>23000</v>
      </c>
      <c r="J45">
        <v>2009</v>
      </c>
    </row>
    <row r="46" spans="1:10" x14ac:dyDescent="0.35">
      <c r="A46" t="s">
        <v>53</v>
      </c>
      <c r="B46" t="s">
        <v>18</v>
      </c>
      <c r="C46">
        <v>6.3</v>
      </c>
      <c r="D46" t="str">
        <f t="shared" si="0"/>
        <v>5-10 Years</v>
      </c>
      <c r="E46">
        <v>54</v>
      </c>
      <c r="F46">
        <v>3.3</v>
      </c>
      <c r="G46">
        <v>1</v>
      </c>
      <c r="H46">
        <v>156</v>
      </c>
      <c r="I46">
        <v>650</v>
      </c>
      <c r="J46">
        <v>2009</v>
      </c>
    </row>
    <row r="47" spans="1:10" x14ac:dyDescent="0.35">
      <c r="A47" t="s">
        <v>53</v>
      </c>
      <c r="B47" t="s">
        <v>16</v>
      </c>
      <c r="C47">
        <v>6.5</v>
      </c>
      <c r="D47" t="str">
        <f t="shared" si="0"/>
        <v>5-10 Years</v>
      </c>
      <c r="E47">
        <v>216</v>
      </c>
      <c r="F47">
        <v>3.8</v>
      </c>
      <c r="G47">
        <v>15</v>
      </c>
      <c r="H47">
        <v>1538</v>
      </c>
      <c r="I47">
        <v>1050</v>
      </c>
      <c r="J47">
        <v>2009</v>
      </c>
    </row>
    <row r="48" spans="1:10" x14ac:dyDescent="0.35">
      <c r="A48" t="s">
        <v>53</v>
      </c>
      <c r="B48" t="s">
        <v>52</v>
      </c>
      <c r="C48">
        <v>7.4</v>
      </c>
      <c r="D48" t="str">
        <f t="shared" si="0"/>
        <v>5-10 Years</v>
      </c>
      <c r="E48">
        <v>802</v>
      </c>
      <c r="F48">
        <v>4.2</v>
      </c>
      <c r="G48">
        <v>805</v>
      </c>
      <c r="H48">
        <v>14760</v>
      </c>
      <c r="I48">
        <v>4273</v>
      </c>
      <c r="J48">
        <v>2009</v>
      </c>
    </row>
    <row r="49" spans="1:10" x14ac:dyDescent="0.35">
      <c r="A49" t="s">
        <v>53</v>
      </c>
      <c r="B49" t="s">
        <v>50</v>
      </c>
      <c r="C49">
        <v>4.5</v>
      </c>
      <c r="D49" t="str">
        <f t="shared" si="0"/>
        <v>&lt;5 Years</v>
      </c>
      <c r="E49">
        <v>3686</v>
      </c>
      <c r="F49">
        <v>5.3</v>
      </c>
      <c r="G49">
        <v>4116</v>
      </c>
      <c r="H49">
        <v>131253</v>
      </c>
      <c r="I49">
        <v>18038</v>
      </c>
      <c r="J49">
        <v>2009</v>
      </c>
    </row>
    <row r="50" spans="1:10" x14ac:dyDescent="0.35">
      <c r="A50" t="s">
        <v>53</v>
      </c>
      <c r="B50" t="s">
        <v>49</v>
      </c>
      <c r="C50">
        <v>5.0999999999999996</v>
      </c>
      <c r="D50" t="str">
        <f t="shared" si="0"/>
        <v>5-10 Years</v>
      </c>
      <c r="E50">
        <v>4675</v>
      </c>
      <c r="F50">
        <v>5</v>
      </c>
      <c r="G50">
        <v>6935</v>
      </c>
      <c r="H50">
        <v>168302</v>
      </c>
      <c r="I50">
        <v>21498</v>
      </c>
      <c r="J50">
        <v>2009</v>
      </c>
    </row>
    <row r="51" spans="1:10" x14ac:dyDescent="0.35">
      <c r="A51" t="s">
        <v>53</v>
      </c>
      <c r="B51" t="s">
        <v>48</v>
      </c>
      <c r="C51">
        <v>6.1</v>
      </c>
      <c r="D51" t="str">
        <f t="shared" si="0"/>
        <v>5-10 Years</v>
      </c>
      <c r="E51">
        <v>321</v>
      </c>
      <c r="F51">
        <v>4.5</v>
      </c>
      <c r="G51">
        <v>52</v>
      </c>
      <c r="H51">
        <v>10821</v>
      </c>
      <c r="I51">
        <v>990</v>
      </c>
      <c r="J51">
        <v>2009</v>
      </c>
    </row>
    <row r="52" spans="1:10" x14ac:dyDescent="0.35">
      <c r="A52" t="s">
        <v>53</v>
      </c>
      <c r="B52" t="s">
        <v>45</v>
      </c>
      <c r="C52">
        <v>5.2</v>
      </c>
      <c r="D52" t="str">
        <f t="shared" si="0"/>
        <v>5-10 Years</v>
      </c>
      <c r="E52">
        <v>1614</v>
      </c>
      <c r="F52">
        <v>3.5</v>
      </c>
      <c r="G52">
        <v>4273</v>
      </c>
      <c r="H52">
        <v>36117</v>
      </c>
      <c r="I52">
        <v>10294</v>
      </c>
      <c r="J52">
        <v>2009</v>
      </c>
    </row>
    <row r="53" spans="1:10" x14ac:dyDescent="0.35">
      <c r="A53" t="s">
        <v>53</v>
      </c>
      <c r="B53" t="s">
        <v>51</v>
      </c>
      <c r="C53">
        <v>5.2</v>
      </c>
      <c r="D53" t="str">
        <f t="shared" si="0"/>
        <v>5-10 Years</v>
      </c>
      <c r="E53">
        <v>4602</v>
      </c>
      <c r="F53">
        <v>5</v>
      </c>
      <c r="G53">
        <v>3784</v>
      </c>
      <c r="H53">
        <v>223273</v>
      </c>
      <c r="I53">
        <v>20389</v>
      </c>
      <c r="J53">
        <v>2009</v>
      </c>
    </row>
    <row r="54" spans="1:10" x14ac:dyDescent="0.35">
      <c r="A54" t="s">
        <v>53</v>
      </c>
      <c r="B54" t="s">
        <v>17</v>
      </c>
      <c r="C54">
        <v>6.9</v>
      </c>
      <c r="D54" t="str">
        <f t="shared" si="0"/>
        <v>5-10 Years</v>
      </c>
      <c r="E54">
        <v>453</v>
      </c>
      <c r="F54">
        <v>4.0999999999999996</v>
      </c>
      <c r="G54">
        <v>980</v>
      </c>
      <c r="H54">
        <v>15317</v>
      </c>
      <c r="I54">
        <v>2416</v>
      </c>
      <c r="J54">
        <v>2009</v>
      </c>
    </row>
    <row r="55" spans="1:10" x14ac:dyDescent="0.35">
      <c r="A55" t="s">
        <v>53</v>
      </c>
      <c r="B55" t="s">
        <v>21</v>
      </c>
      <c r="C55">
        <v>4</v>
      </c>
      <c r="D55" t="str">
        <f t="shared" si="0"/>
        <v>&lt;5 Years</v>
      </c>
      <c r="E55">
        <v>1005</v>
      </c>
      <c r="F55">
        <v>5</v>
      </c>
      <c r="G55">
        <v>278</v>
      </c>
      <c r="H55">
        <v>66960</v>
      </c>
      <c r="I55">
        <v>6978</v>
      </c>
      <c r="J55">
        <v>2009</v>
      </c>
    </row>
    <row r="56" spans="1:10" x14ac:dyDescent="0.35">
      <c r="A56" t="s">
        <v>53</v>
      </c>
      <c r="B56" t="s">
        <v>25</v>
      </c>
      <c r="C56">
        <v>9.5</v>
      </c>
      <c r="D56" t="str">
        <f t="shared" si="0"/>
        <v>5-10 Years</v>
      </c>
      <c r="E56">
        <v>2909</v>
      </c>
      <c r="F56">
        <v>3.3</v>
      </c>
      <c r="G56">
        <v>10882</v>
      </c>
      <c r="H56">
        <v>235602</v>
      </c>
      <c r="I56">
        <v>18114</v>
      </c>
      <c r="J56">
        <v>2009</v>
      </c>
    </row>
    <row r="57" spans="1:10" x14ac:dyDescent="0.35">
      <c r="A57" t="s">
        <v>62</v>
      </c>
      <c r="B57" t="s">
        <v>49</v>
      </c>
      <c r="C57">
        <v>5.0999999999999996</v>
      </c>
      <c r="D57" t="str">
        <f t="shared" si="0"/>
        <v>5-10 Years</v>
      </c>
      <c r="E57">
        <v>4259</v>
      </c>
      <c r="F57">
        <v>5</v>
      </c>
      <c r="G57">
        <v>6753</v>
      </c>
      <c r="H57">
        <v>167753</v>
      </c>
      <c r="I57">
        <v>21458</v>
      </c>
      <c r="J57">
        <v>2010</v>
      </c>
    </row>
    <row r="58" spans="1:10" x14ac:dyDescent="0.35">
      <c r="A58" t="s">
        <v>62</v>
      </c>
      <c r="B58" t="s">
        <v>44</v>
      </c>
      <c r="C58">
        <v>7.8</v>
      </c>
      <c r="D58" t="str">
        <f t="shared" si="0"/>
        <v>5-10 Years</v>
      </c>
      <c r="E58">
        <v>942</v>
      </c>
      <c r="F58">
        <v>3.5</v>
      </c>
      <c r="G58">
        <v>2904</v>
      </c>
      <c r="H58">
        <v>21021</v>
      </c>
      <c r="I58">
        <v>5274</v>
      </c>
      <c r="J58">
        <v>2010</v>
      </c>
    </row>
    <row r="59" spans="1:10" x14ac:dyDescent="0.35">
      <c r="A59" t="s">
        <v>62</v>
      </c>
      <c r="B59" t="s">
        <v>39</v>
      </c>
      <c r="C59">
        <v>5.3</v>
      </c>
      <c r="D59" t="str">
        <f t="shared" si="0"/>
        <v>5-10 Years</v>
      </c>
      <c r="E59">
        <v>4652</v>
      </c>
      <c r="F59">
        <v>2.9</v>
      </c>
      <c r="G59">
        <v>15352</v>
      </c>
      <c r="H59">
        <v>123071</v>
      </c>
      <c r="I59">
        <v>30183</v>
      </c>
      <c r="J59">
        <v>2010</v>
      </c>
    </row>
    <row r="60" spans="1:10" x14ac:dyDescent="0.35">
      <c r="A60" t="s">
        <v>62</v>
      </c>
      <c r="B60" t="s">
        <v>37</v>
      </c>
      <c r="C60">
        <v>4.8</v>
      </c>
      <c r="D60" t="str">
        <f t="shared" si="0"/>
        <v>&lt;5 Years</v>
      </c>
      <c r="E60">
        <v>6110</v>
      </c>
      <c r="F60">
        <v>4</v>
      </c>
      <c r="G60">
        <v>15603</v>
      </c>
      <c r="H60">
        <v>197604</v>
      </c>
      <c r="I60">
        <v>32953</v>
      </c>
      <c r="J60">
        <v>2010</v>
      </c>
    </row>
    <row r="61" spans="1:10" x14ac:dyDescent="0.35">
      <c r="A61" t="s">
        <v>62</v>
      </c>
      <c r="B61" t="s">
        <v>36</v>
      </c>
      <c r="C61">
        <v>8.8000000000000007</v>
      </c>
      <c r="D61" t="str">
        <f t="shared" si="0"/>
        <v>5-10 Years</v>
      </c>
      <c r="E61">
        <v>424</v>
      </c>
      <c r="F61">
        <v>4.2</v>
      </c>
      <c r="G61">
        <v>55</v>
      </c>
      <c r="H61">
        <v>4317</v>
      </c>
      <c r="I61">
        <v>1765</v>
      </c>
      <c r="J61">
        <v>2010</v>
      </c>
    </row>
    <row r="62" spans="1:10" x14ac:dyDescent="0.35">
      <c r="A62" t="s">
        <v>62</v>
      </c>
      <c r="B62" t="s">
        <v>35</v>
      </c>
      <c r="C62">
        <v>5.7</v>
      </c>
      <c r="D62" t="str">
        <f t="shared" si="0"/>
        <v>5-10 Years</v>
      </c>
      <c r="E62">
        <v>956</v>
      </c>
      <c r="F62">
        <v>3.4</v>
      </c>
      <c r="G62">
        <v>1686</v>
      </c>
      <c r="H62">
        <v>12108</v>
      </c>
      <c r="I62">
        <v>6102</v>
      </c>
      <c r="J62">
        <v>2010</v>
      </c>
    </row>
    <row r="63" spans="1:10" x14ac:dyDescent="0.35">
      <c r="A63" t="s">
        <v>62</v>
      </c>
      <c r="B63" t="s">
        <v>33</v>
      </c>
      <c r="C63">
        <v>4.4000000000000004</v>
      </c>
      <c r="D63" t="str">
        <f t="shared" si="0"/>
        <v>&lt;5 Years</v>
      </c>
      <c r="E63">
        <v>471</v>
      </c>
      <c r="F63">
        <v>4.0999999999999996</v>
      </c>
      <c r="G63">
        <v>788</v>
      </c>
      <c r="H63">
        <v>20216</v>
      </c>
      <c r="I63">
        <v>2136</v>
      </c>
      <c r="J63">
        <v>2010</v>
      </c>
    </row>
    <row r="64" spans="1:10" x14ac:dyDescent="0.35">
      <c r="A64" t="s">
        <v>62</v>
      </c>
      <c r="B64" t="s">
        <v>24</v>
      </c>
      <c r="C64">
        <v>3.2</v>
      </c>
      <c r="D64" t="str">
        <f t="shared" si="0"/>
        <v>&lt;5 Years</v>
      </c>
      <c r="E64">
        <v>7164</v>
      </c>
      <c r="F64">
        <v>4.9000000000000004</v>
      </c>
      <c r="G64">
        <v>8476</v>
      </c>
      <c r="H64">
        <v>329638</v>
      </c>
      <c r="I64">
        <v>34019</v>
      </c>
      <c r="J64">
        <v>2010</v>
      </c>
    </row>
    <row r="65" spans="1:10" x14ac:dyDescent="0.35">
      <c r="A65" t="s">
        <v>62</v>
      </c>
      <c r="B65" t="s">
        <v>22</v>
      </c>
      <c r="C65">
        <v>4</v>
      </c>
      <c r="D65" t="str">
        <f t="shared" si="0"/>
        <v>&lt;5 Years</v>
      </c>
      <c r="E65">
        <v>16212</v>
      </c>
      <c r="F65">
        <v>4.9000000000000004</v>
      </c>
      <c r="G65">
        <v>25380</v>
      </c>
      <c r="H65">
        <v>543987</v>
      </c>
      <c r="I65">
        <v>103565</v>
      </c>
      <c r="J65">
        <v>2010</v>
      </c>
    </row>
    <row r="66" spans="1:10" x14ac:dyDescent="0.35">
      <c r="A66" t="s">
        <v>62</v>
      </c>
      <c r="B66" t="s">
        <v>20</v>
      </c>
      <c r="C66">
        <v>8</v>
      </c>
      <c r="D66" t="str">
        <f t="shared" si="0"/>
        <v>5-10 Years</v>
      </c>
      <c r="E66">
        <v>50</v>
      </c>
      <c r="F66">
        <v>4</v>
      </c>
      <c r="G66">
        <v>6</v>
      </c>
      <c r="H66">
        <v>514</v>
      </c>
      <c r="I66">
        <v>324</v>
      </c>
      <c r="J66">
        <v>2010</v>
      </c>
    </row>
    <row r="67" spans="1:10" x14ac:dyDescent="0.35">
      <c r="A67" t="s">
        <v>62</v>
      </c>
      <c r="B67" t="s">
        <v>19</v>
      </c>
      <c r="C67">
        <v>2.7</v>
      </c>
      <c r="D67" t="str">
        <f t="shared" ref="D67:D130" si="1">IF(C67&lt;5,"&lt;5 Years",IF(C67&lt;=10,"5-10 Years","&gt;10 Years"))</f>
        <v>&lt;5 Years</v>
      </c>
      <c r="E67">
        <v>3414</v>
      </c>
      <c r="F67">
        <v>4.4000000000000004</v>
      </c>
      <c r="G67">
        <v>20145</v>
      </c>
      <c r="H67">
        <v>217963</v>
      </c>
      <c r="I67">
        <v>23540</v>
      </c>
      <c r="J67">
        <v>2010</v>
      </c>
    </row>
    <row r="68" spans="1:10" x14ac:dyDescent="0.35">
      <c r="A68" t="s">
        <v>62</v>
      </c>
      <c r="B68" t="s">
        <v>18</v>
      </c>
      <c r="C68">
        <v>7.7</v>
      </c>
      <c r="D68" t="str">
        <f t="shared" si="1"/>
        <v>5-10 Years</v>
      </c>
      <c r="E68">
        <v>53</v>
      </c>
      <c r="F68">
        <v>3.5</v>
      </c>
      <c r="G68">
        <v>2</v>
      </c>
      <c r="H68">
        <v>204</v>
      </c>
      <c r="I68">
        <v>650</v>
      </c>
      <c r="J68">
        <v>2010</v>
      </c>
    </row>
    <row r="69" spans="1:10" x14ac:dyDescent="0.35">
      <c r="A69" t="s">
        <v>62</v>
      </c>
      <c r="B69" t="s">
        <v>16</v>
      </c>
      <c r="C69">
        <v>5.3</v>
      </c>
      <c r="D69" t="str">
        <f t="shared" si="1"/>
        <v>5-10 Years</v>
      </c>
      <c r="E69">
        <v>203</v>
      </c>
      <c r="F69">
        <v>3.8</v>
      </c>
      <c r="G69">
        <v>0</v>
      </c>
      <c r="H69">
        <v>1715</v>
      </c>
      <c r="I69">
        <v>1050</v>
      </c>
      <c r="J69">
        <v>2010</v>
      </c>
    </row>
    <row r="70" spans="1:10" x14ac:dyDescent="0.35">
      <c r="A70" t="s">
        <v>62</v>
      </c>
      <c r="B70" t="s">
        <v>52</v>
      </c>
      <c r="C70">
        <v>7.9</v>
      </c>
      <c r="D70" t="str">
        <f t="shared" si="1"/>
        <v>5-10 Years</v>
      </c>
      <c r="E70">
        <v>783</v>
      </c>
      <c r="F70">
        <v>4.2</v>
      </c>
      <c r="G70">
        <v>575</v>
      </c>
      <c r="H70">
        <v>13951</v>
      </c>
      <c r="I70">
        <v>3959</v>
      </c>
      <c r="J70">
        <v>2010</v>
      </c>
    </row>
    <row r="71" spans="1:10" x14ac:dyDescent="0.35">
      <c r="A71" t="s">
        <v>62</v>
      </c>
      <c r="B71" t="s">
        <v>50</v>
      </c>
      <c r="C71">
        <v>4.5999999999999996</v>
      </c>
      <c r="D71" t="str">
        <f t="shared" si="1"/>
        <v>&lt;5 Years</v>
      </c>
      <c r="E71">
        <v>3773</v>
      </c>
      <c r="F71">
        <v>5.3</v>
      </c>
      <c r="G71">
        <v>4563</v>
      </c>
      <c r="H71">
        <v>137650</v>
      </c>
      <c r="I71">
        <v>17586</v>
      </c>
      <c r="J71">
        <v>2010</v>
      </c>
    </row>
    <row r="72" spans="1:10" x14ac:dyDescent="0.35">
      <c r="A72" t="s">
        <v>62</v>
      </c>
      <c r="B72" t="s">
        <v>48</v>
      </c>
      <c r="C72">
        <v>4.8</v>
      </c>
      <c r="D72" t="str">
        <f t="shared" si="1"/>
        <v>&lt;5 Years</v>
      </c>
      <c r="E72">
        <v>333</v>
      </c>
      <c r="F72">
        <v>4.5</v>
      </c>
      <c r="G72">
        <v>48</v>
      </c>
      <c r="H72">
        <v>10588</v>
      </c>
      <c r="I72">
        <v>938</v>
      </c>
      <c r="J72">
        <v>2010</v>
      </c>
    </row>
    <row r="73" spans="1:10" x14ac:dyDescent="0.35">
      <c r="A73" t="s">
        <v>62</v>
      </c>
      <c r="B73" t="s">
        <v>45</v>
      </c>
      <c r="C73">
        <v>7.1</v>
      </c>
      <c r="D73" t="str">
        <f t="shared" si="1"/>
        <v>5-10 Years</v>
      </c>
      <c r="E73">
        <v>1549</v>
      </c>
      <c r="F73">
        <v>3.4</v>
      </c>
      <c r="G73">
        <v>4500</v>
      </c>
      <c r="H73">
        <v>36395</v>
      </c>
      <c r="I73">
        <v>9780</v>
      </c>
      <c r="J73">
        <v>2010</v>
      </c>
    </row>
    <row r="74" spans="1:10" x14ac:dyDescent="0.35">
      <c r="A74" t="s">
        <v>62</v>
      </c>
      <c r="B74" t="s">
        <v>51</v>
      </c>
      <c r="C74">
        <v>4.0999999999999996</v>
      </c>
      <c r="D74" t="str">
        <f t="shared" si="1"/>
        <v>&lt;5 Years</v>
      </c>
      <c r="E74">
        <v>4476</v>
      </c>
      <c r="F74">
        <v>5.0999999999999996</v>
      </c>
      <c r="G74">
        <v>3391</v>
      </c>
      <c r="H74">
        <v>222004</v>
      </c>
      <c r="I74">
        <v>20486</v>
      </c>
      <c r="J74">
        <v>2010</v>
      </c>
    </row>
    <row r="75" spans="1:10" x14ac:dyDescent="0.35">
      <c r="A75" t="s">
        <v>62</v>
      </c>
      <c r="B75" t="s">
        <v>17</v>
      </c>
      <c r="C75">
        <v>6.8</v>
      </c>
      <c r="D75" t="str">
        <f t="shared" si="1"/>
        <v>5-10 Years</v>
      </c>
      <c r="E75">
        <v>408</v>
      </c>
      <c r="F75">
        <v>4.0999999999999996</v>
      </c>
      <c r="G75">
        <v>927</v>
      </c>
      <c r="H75">
        <v>14916</v>
      </c>
      <c r="I75">
        <v>2388</v>
      </c>
      <c r="J75">
        <v>2010</v>
      </c>
    </row>
    <row r="76" spans="1:10" x14ac:dyDescent="0.35">
      <c r="A76" t="s">
        <v>62</v>
      </c>
      <c r="B76" t="s">
        <v>21</v>
      </c>
      <c r="C76">
        <v>4</v>
      </c>
      <c r="D76" t="str">
        <f t="shared" si="1"/>
        <v>&lt;5 Years</v>
      </c>
      <c r="E76">
        <v>1000</v>
      </c>
      <c r="F76">
        <v>5</v>
      </c>
      <c r="G76">
        <v>270</v>
      </c>
      <c r="H76">
        <v>67286</v>
      </c>
      <c r="I76">
        <v>6592</v>
      </c>
      <c r="J76">
        <v>2010</v>
      </c>
    </row>
    <row r="77" spans="1:10" x14ac:dyDescent="0.35">
      <c r="A77" t="s">
        <v>62</v>
      </c>
      <c r="B77" t="s">
        <v>25</v>
      </c>
      <c r="C77">
        <v>3.2</v>
      </c>
      <c r="D77" t="str">
        <f t="shared" si="1"/>
        <v>&lt;5 Years</v>
      </c>
      <c r="E77">
        <v>3014</v>
      </c>
      <c r="F77">
        <v>2.7</v>
      </c>
      <c r="G77">
        <v>10656</v>
      </c>
      <c r="H77">
        <v>249006</v>
      </c>
      <c r="I77">
        <v>18466</v>
      </c>
      <c r="J77">
        <v>2010</v>
      </c>
    </row>
    <row r="78" spans="1:10" x14ac:dyDescent="0.35">
      <c r="A78" t="s">
        <v>62</v>
      </c>
      <c r="B78" t="s">
        <v>29</v>
      </c>
      <c r="C78">
        <v>4.5999999999999996</v>
      </c>
      <c r="D78" t="str">
        <f t="shared" si="1"/>
        <v>&lt;5 Years</v>
      </c>
      <c r="E78">
        <v>3596</v>
      </c>
      <c r="F78">
        <v>5</v>
      </c>
      <c r="G78">
        <v>11822</v>
      </c>
      <c r="H78">
        <v>303226</v>
      </c>
      <c r="I78">
        <v>22733</v>
      </c>
      <c r="J78">
        <v>2010</v>
      </c>
    </row>
    <row r="79" spans="1:10" x14ac:dyDescent="0.35">
      <c r="A79" t="s">
        <v>62</v>
      </c>
      <c r="B79" t="s">
        <v>34</v>
      </c>
      <c r="C79">
        <v>4.0999999999999996</v>
      </c>
      <c r="D79" t="str">
        <f t="shared" si="1"/>
        <v>&lt;5 Years</v>
      </c>
      <c r="E79">
        <v>3460</v>
      </c>
      <c r="F79">
        <v>5.5</v>
      </c>
      <c r="G79">
        <v>12289</v>
      </c>
      <c r="H79">
        <v>306149</v>
      </c>
      <c r="I79">
        <v>14588</v>
      </c>
      <c r="J79">
        <v>2010</v>
      </c>
    </row>
    <row r="80" spans="1:10" x14ac:dyDescent="0.35">
      <c r="A80" t="s">
        <v>62</v>
      </c>
      <c r="B80" t="s">
        <v>38</v>
      </c>
      <c r="C80">
        <v>4</v>
      </c>
      <c r="D80" t="str">
        <f t="shared" si="1"/>
        <v>&lt;5 Years</v>
      </c>
      <c r="E80">
        <v>2056</v>
      </c>
      <c r="F80">
        <v>5.5</v>
      </c>
      <c r="G80">
        <v>6966</v>
      </c>
      <c r="H80">
        <v>178818</v>
      </c>
      <c r="I80">
        <v>12750</v>
      </c>
      <c r="J80">
        <v>2010</v>
      </c>
    </row>
    <row r="81" spans="1:10" x14ac:dyDescent="0.35">
      <c r="A81" t="s">
        <v>62</v>
      </c>
      <c r="B81" t="s">
        <v>42</v>
      </c>
      <c r="C81">
        <v>4.2</v>
      </c>
      <c r="D81" t="str">
        <f t="shared" si="1"/>
        <v>&lt;5 Years</v>
      </c>
      <c r="E81">
        <v>3316</v>
      </c>
      <c r="F81">
        <v>5.5</v>
      </c>
      <c r="G81">
        <v>10746</v>
      </c>
      <c r="H81">
        <v>322239</v>
      </c>
      <c r="I81">
        <v>21546</v>
      </c>
      <c r="J81">
        <v>2010</v>
      </c>
    </row>
    <row r="82" spans="1:10" x14ac:dyDescent="0.35">
      <c r="A82" t="s">
        <v>66</v>
      </c>
      <c r="B82" t="s">
        <v>21</v>
      </c>
      <c r="C82">
        <v>4</v>
      </c>
      <c r="D82" t="str">
        <f t="shared" si="1"/>
        <v>&lt;5 Years</v>
      </c>
      <c r="E82">
        <v>959</v>
      </c>
      <c r="F82">
        <v>5.0999999999999996</v>
      </c>
      <c r="G82">
        <v>235</v>
      </c>
      <c r="H82">
        <v>61070</v>
      </c>
      <c r="I82">
        <v>6146</v>
      </c>
      <c r="J82">
        <v>2011</v>
      </c>
    </row>
    <row r="83" spans="1:10" x14ac:dyDescent="0.35">
      <c r="A83" t="s">
        <v>66</v>
      </c>
      <c r="B83" t="s">
        <v>39</v>
      </c>
      <c r="C83">
        <v>6.1</v>
      </c>
      <c r="D83" t="str">
        <f t="shared" si="1"/>
        <v>5-10 Years</v>
      </c>
      <c r="E83">
        <v>4669</v>
      </c>
      <c r="F83">
        <v>2.9</v>
      </c>
      <c r="G83">
        <v>14395</v>
      </c>
      <c r="H83">
        <v>123353</v>
      </c>
      <c r="I83">
        <v>35345</v>
      </c>
      <c r="J83">
        <v>2011</v>
      </c>
    </row>
    <row r="84" spans="1:10" x14ac:dyDescent="0.35">
      <c r="A84" t="s">
        <v>66</v>
      </c>
      <c r="B84" t="s">
        <v>37</v>
      </c>
      <c r="C84">
        <v>4.9000000000000004</v>
      </c>
      <c r="D84" t="str">
        <f t="shared" si="1"/>
        <v>&lt;5 Years</v>
      </c>
      <c r="E84">
        <v>6092</v>
      </c>
      <c r="F84">
        <v>4</v>
      </c>
      <c r="G84">
        <v>15920</v>
      </c>
      <c r="H84">
        <v>232759</v>
      </c>
      <c r="I84">
        <v>32331</v>
      </c>
      <c r="J84">
        <v>2011</v>
      </c>
    </row>
    <row r="85" spans="1:10" x14ac:dyDescent="0.35">
      <c r="A85" t="s">
        <v>66</v>
      </c>
      <c r="B85" t="s">
        <v>36</v>
      </c>
      <c r="C85">
        <v>9.8000000000000007</v>
      </c>
      <c r="D85" t="str">
        <f t="shared" si="1"/>
        <v>5-10 Years</v>
      </c>
      <c r="E85">
        <v>414</v>
      </c>
      <c r="F85">
        <v>4.3</v>
      </c>
      <c r="G85">
        <v>53</v>
      </c>
      <c r="H85">
        <v>4075</v>
      </c>
      <c r="I85">
        <v>1516</v>
      </c>
      <c r="J85">
        <v>2011</v>
      </c>
    </row>
    <row r="86" spans="1:10" x14ac:dyDescent="0.35">
      <c r="A86" t="s">
        <v>66</v>
      </c>
      <c r="B86" t="s">
        <v>51</v>
      </c>
      <c r="C86">
        <v>4.4000000000000004</v>
      </c>
      <c r="D86" t="str">
        <f t="shared" si="1"/>
        <v>&lt;5 Years</v>
      </c>
      <c r="E86">
        <v>4383</v>
      </c>
      <c r="F86">
        <v>5</v>
      </c>
      <c r="G86">
        <v>3308</v>
      </c>
      <c r="H86">
        <v>303312</v>
      </c>
      <c r="I86">
        <v>21053</v>
      </c>
      <c r="J86">
        <v>2011</v>
      </c>
    </row>
    <row r="87" spans="1:10" x14ac:dyDescent="0.35">
      <c r="A87" t="s">
        <v>66</v>
      </c>
      <c r="B87" t="s">
        <v>35</v>
      </c>
      <c r="C87">
        <v>4.7</v>
      </c>
      <c r="D87" t="str">
        <f t="shared" si="1"/>
        <v>&lt;5 Years</v>
      </c>
      <c r="E87">
        <v>839</v>
      </c>
      <c r="F87">
        <v>3</v>
      </c>
      <c r="G87">
        <v>1164</v>
      </c>
      <c r="H87">
        <v>11996</v>
      </c>
      <c r="I87">
        <v>5813</v>
      </c>
      <c r="J87">
        <v>2011</v>
      </c>
    </row>
    <row r="88" spans="1:10" x14ac:dyDescent="0.35">
      <c r="A88" t="s">
        <v>66</v>
      </c>
      <c r="B88" t="s">
        <v>33</v>
      </c>
      <c r="C88">
        <v>5.3</v>
      </c>
      <c r="D88" t="str">
        <f t="shared" si="1"/>
        <v>5-10 Years</v>
      </c>
      <c r="E88">
        <v>493</v>
      </c>
      <c r="F88">
        <v>3.8</v>
      </c>
      <c r="G88">
        <v>794</v>
      </c>
      <c r="H88">
        <v>19614</v>
      </c>
      <c r="I88">
        <v>2055</v>
      </c>
      <c r="J88">
        <v>2011</v>
      </c>
    </row>
    <row r="89" spans="1:10" x14ac:dyDescent="0.35">
      <c r="A89" t="s">
        <v>66</v>
      </c>
      <c r="B89" t="s">
        <v>32</v>
      </c>
      <c r="C89">
        <v>4.8</v>
      </c>
      <c r="D89" t="str">
        <f t="shared" si="1"/>
        <v>&lt;5 Years</v>
      </c>
      <c r="E89">
        <v>6077</v>
      </c>
      <c r="F89">
        <v>2.5</v>
      </c>
      <c r="G89">
        <v>16177</v>
      </c>
      <c r="H89">
        <v>90237</v>
      </c>
      <c r="I89">
        <v>40721</v>
      </c>
      <c r="J89">
        <v>2011</v>
      </c>
    </row>
    <row r="90" spans="1:10" x14ac:dyDescent="0.35">
      <c r="A90" t="s">
        <v>66</v>
      </c>
      <c r="B90" t="s">
        <v>31</v>
      </c>
      <c r="C90">
        <v>4.0999999999999996</v>
      </c>
      <c r="D90" t="str">
        <f t="shared" si="1"/>
        <v>&lt;5 Years</v>
      </c>
      <c r="E90">
        <v>7663</v>
      </c>
      <c r="F90">
        <v>5.5</v>
      </c>
      <c r="G90">
        <v>8559</v>
      </c>
      <c r="H90">
        <v>351240</v>
      </c>
      <c r="I90">
        <v>41863</v>
      </c>
      <c r="J90">
        <v>2011</v>
      </c>
    </row>
    <row r="91" spans="1:10" x14ac:dyDescent="0.35">
      <c r="A91" t="s">
        <v>66</v>
      </c>
      <c r="B91" t="s">
        <v>30</v>
      </c>
      <c r="C91">
        <v>7</v>
      </c>
      <c r="D91" t="str">
        <f t="shared" si="1"/>
        <v>5-10 Years</v>
      </c>
      <c r="E91">
        <v>3755</v>
      </c>
      <c r="F91">
        <v>4.8</v>
      </c>
      <c r="G91">
        <v>4028</v>
      </c>
      <c r="H91">
        <v>139868</v>
      </c>
      <c r="I91">
        <v>16610</v>
      </c>
      <c r="J91">
        <v>2011</v>
      </c>
    </row>
    <row r="92" spans="1:10" x14ac:dyDescent="0.35">
      <c r="A92" t="s">
        <v>66</v>
      </c>
      <c r="B92" t="s">
        <v>45</v>
      </c>
      <c r="C92">
        <v>7.2</v>
      </c>
      <c r="D92" t="str">
        <f t="shared" si="1"/>
        <v>5-10 Years</v>
      </c>
      <c r="E92">
        <v>1634</v>
      </c>
      <c r="F92">
        <v>3.3</v>
      </c>
      <c r="G92">
        <v>4497</v>
      </c>
      <c r="H92">
        <v>38690</v>
      </c>
      <c r="I92">
        <v>9633</v>
      </c>
      <c r="J92">
        <v>2011</v>
      </c>
    </row>
    <row r="93" spans="1:10" x14ac:dyDescent="0.35">
      <c r="A93" t="s">
        <v>66</v>
      </c>
      <c r="B93" t="s">
        <v>43</v>
      </c>
      <c r="C93">
        <v>4.8</v>
      </c>
      <c r="D93" t="str">
        <f t="shared" si="1"/>
        <v>&lt;5 Years</v>
      </c>
      <c r="E93">
        <v>22170</v>
      </c>
      <c r="F93">
        <v>5.0999999999999996</v>
      </c>
      <c r="G93">
        <v>50014</v>
      </c>
      <c r="H93">
        <v>1001924</v>
      </c>
      <c r="I93">
        <v>123615</v>
      </c>
      <c r="J93">
        <v>2011</v>
      </c>
    </row>
    <row r="94" spans="1:10" x14ac:dyDescent="0.35">
      <c r="A94" t="s">
        <v>66</v>
      </c>
      <c r="B94" t="s">
        <v>26</v>
      </c>
      <c r="C94">
        <v>6.8</v>
      </c>
      <c r="D94" t="str">
        <f t="shared" si="1"/>
        <v>5-10 Years</v>
      </c>
      <c r="E94">
        <v>412</v>
      </c>
      <c r="F94">
        <v>4.4000000000000004</v>
      </c>
      <c r="G94">
        <v>306</v>
      </c>
      <c r="H94">
        <v>1150</v>
      </c>
      <c r="I94">
        <v>1889</v>
      </c>
      <c r="J94">
        <v>2011</v>
      </c>
    </row>
    <row r="95" spans="1:10" x14ac:dyDescent="0.35">
      <c r="A95" t="s">
        <v>66</v>
      </c>
      <c r="B95" t="s">
        <v>25</v>
      </c>
      <c r="C95">
        <v>4.8</v>
      </c>
      <c r="D95" t="str">
        <f t="shared" si="1"/>
        <v>&lt;5 Years</v>
      </c>
      <c r="E95">
        <v>3046</v>
      </c>
      <c r="F95">
        <v>5.0999999999999996</v>
      </c>
      <c r="G95">
        <v>9963</v>
      </c>
      <c r="H95">
        <v>233316</v>
      </c>
      <c r="I95">
        <v>18214</v>
      </c>
      <c r="J95">
        <v>2011</v>
      </c>
    </row>
    <row r="96" spans="1:10" x14ac:dyDescent="0.35">
      <c r="A96" t="s">
        <v>66</v>
      </c>
      <c r="B96" t="s">
        <v>24</v>
      </c>
      <c r="C96">
        <v>3.4</v>
      </c>
      <c r="D96" t="str">
        <f t="shared" si="1"/>
        <v>&lt;5 Years</v>
      </c>
      <c r="E96">
        <v>7621</v>
      </c>
      <c r="F96">
        <v>4.9000000000000004</v>
      </c>
      <c r="G96">
        <v>8867</v>
      </c>
      <c r="H96">
        <v>351240</v>
      </c>
      <c r="I96">
        <v>36448</v>
      </c>
      <c r="J96">
        <v>2011</v>
      </c>
    </row>
    <row r="97" spans="1:10" x14ac:dyDescent="0.35">
      <c r="A97" t="s">
        <v>66</v>
      </c>
      <c r="B97" t="s">
        <v>23</v>
      </c>
      <c r="C97">
        <v>6.5</v>
      </c>
      <c r="D97" t="str">
        <f t="shared" si="1"/>
        <v>5-10 Years</v>
      </c>
      <c r="E97">
        <v>5742</v>
      </c>
      <c r="F97">
        <v>4.2</v>
      </c>
      <c r="G97">
        <v>12579</v>
      </c>
      <c r="H97">
        <v>6558</v>
      </c>
      <c r="I97">
        <v>39911</v>
      </c>
      <c r="J97">
        <v>2011</v>
      </c>
    </row>
    <row r="98" spans="1:10" x14ac:dyDescent="0.35">
      <c r="A98" t="s">
        <v>66</v>
      </c>
      <c r="B98" t="s">
        <v>29</v>
      </c>
      <c r="C98">
        <v>4.4000000000000004</v>
      </c>
      <c r="D98" t="str">
        <f t="shared" si="1"/>
        <v>&lt;5 Years</v>
      </c>
      <c r="E98">
        <v>3614</v>
      </c>
      <c r="F98">
        <v>5.5</v>
      </c>
      <c r="G98">
        <v>11528</v>
      </c>
      <c r="H98">
        <v>296609</v>
      </c>
      <c r="I98">
        <v>22314</v>
      </c>
      <c r="J98">
        <v>2011</v>
      </c>
    </row>
    <row r="99" spans="1:10" x14ac:dyDescent="0.35">
      <c r="A99" t="s">
        <v>66</v>
      </c>
      <c r="B99" t="s">
        <v>22</v>
      </c>
      <c r="C99">
        <v>4</v>
      </c>
      <c r="D99" t="str">
        <f t="shared" si="1"/>
        <v>&lt;5 Years</v>
      </c>
      <c r="E99">
        <v>16801</v>
      </c>
      <c r="F99">
        <v>4.9000000000000004</v>
      </c>
      <c r="G99">
        <v>26004</v>
      </c>
      <c r="H99">
        <v>556295</v>
      </c>
      <c r="I99">
        <v>104566</v>
      </c>
      <c r="J99">
        <v>2011</v>
      </c>
    </row>
    <row r="100" spans="1:10" x14ac:dyDescent="0.35">
      <c r="A100" t="s">
        <v>66</v>
      </c>
      <c r="B100" t="s">
        <v>20</v>
      </c>
      <c r="C100">
        <v>9</v>
      </c>
      <c r="D100" t="str">
        <f t="shared" si="1"/>
        <v>5-10 Years</v>
      </c>
      <c r="E100">
        <v>50</v>
      </c>
      <c r="F100">
        <v>4.5</v>
      </c>
      <c r="G100">
        <v>4</v>
      </c>
      <c r="H100">
        <v>352</v>
      </c>
      <c r="I100">
        <v>307</v>
      </c>
      <c r="J100">
        <v>2011</v>
      </c>
    </row>
    <row r="101" spans="1:10" x14ac:dyDescent="0.35">
      <c r="A101" t="s">
        <v>66</v>
      </c>
      <c r="B101" t="s">
        <v>19</v>
      </c>
      <c r="C101">
        <v>3.4</v>
      </c>
      <c r="D101" t="str">
        <f t="shared" si="1"/>
        <v>&lt;5 Years</v>
      </c>
      <c r="E101">
        <v>3446</v>
      </c>
      <c r="F101">
        <v>4.4000000000000004</v>
      </c>
      <c r="G101">
        <v>19769</v>
      </c>
      <c r="H101">
        <v>213249</v>
      </c>
      <c r="I101">
        <v>22146</v>
      </c>
      <c r="J101">
        <v>2011</v>
      </c>
    </row>
    <row r="102" spans="1:10" x14ac:dyDescent="0.35">
      <c r="A102" t="s">
        <v>66</v>
      </c>
      <c r="B102" t="s">
        <v>34</v>
      </c>
      <c r="C102">
        <v>3.7</v>
      </c>
      <c r="D102" t="str">
        <f t="shared" si="1"/>
        <v>&lt;5 Years</v>
      </c>
      <c r="E102">
        <v>2480</v>
      </c>
      <c r="F102">
        <v>5.4</v>
      </c>
      <c r="G102">
        <v>7696</v>
      </c>
      <c r="H102">
        <v>222214</v>
      </c>
      <c r="I102">
        <v>14141</v>
      </c>
      <c r="J102">
        <v>2011</v>
      </c>
    </row>
    <row r="103" spans="1:10" x14ac:dyDescent="0.35">
      <c r="A103" t="s">
        <v>66</v>
      </c>
      <c r="B103" t="s">
        <v>18</v>
      </c>
      <c r="C103">
        <v>6</v>
      </c>
      <c r="D103" t="str">
        <f t="shared" si="1"/>
        <v>5-10 Years</v>
      </c>
      <c r="E103">
        <v>47</v>
      </c>
      <c r="F103">
        <v>3.5</v>
      </c>
      <c r="G103">
        <v>1</v>
      </c>
      <c r="H103">
        <v>176</v>
      </c>
      <c r="I103">
        <v>650</v>
      </c>
      <c r="J103">
        <v>2011</v>
      </c>
    </row>
    <row r="104" spans="1:10" x14ac:dyDescent="0.35">
      <c r="A104" t="s">
        <v>66</v>
      </c>
      <c r="B104" t="s">
        <v>38</v>
      </c>
      <c r="C104">
        <v>5.0999999999999996</v>
      </c>
      <c r="D104" t="str">
        <f t="shared" si="1"/>
        <v>5-10 Years</v>
      </c>
      <c r="E104">
        <v>2067</v>
      </c>
      <c r="F104">
        <v>5.4</v>
      </c>
      <c r="G104">
        <v>6941</v>
      </c>
      <c r="H104">
        <v>169389</v>
      </c>
      <c r="I104">
        <v>12379</v>
      </c>
      <c r="J104">
        <v>2011</v>
      </c>
    </row>
    <row r="105" spans="1:10" x14ac:dyDescent="0.35">
      <c r="A105" t="s">
        <v>66</v>
      </c>
      <c r="B105" t="s">
        <v>16</v>
      </c>
      <c r="C105">
        <v>6.8</v>
      </c>
      <c r="D105" t="str">
        <f t="shared" si="1"/>
        <v>5-10 Years</v>
      </c>
      <c r="E105">
        <v>220</v>
      </c>
      <c r="F105">
        <v>3.7</v>
      </c>
      <c r="G105">
        <v>18</v>
      </c>
      <c r="H105">
        <v>2560</v>
      </c>
      <c r="I105">
        <v>1050</v>
      </c>
      <c r="J105">
        <v>2011</v>
      </c>
    </row>
    <row r="106" spans="1:10" x14ac:dyDescent="0.35">
      <c r="A106" t="s">
        <v>66</v>
      </c>
      <c r="B106" t="s">
        <v>42</v>
      </c>
      <c r="C106">
        <v>4.9000000000000004</v>
      </c>
      <c r="D106" t="str">
        <f t="shared" si="1"/>
        <v>&lt;5 Years</v>
      </c>
      <c r="E106">
        <v>3325</v>
      </c>
      <c r="F106">
        <v>5.5</v>
      </c>
      <c r="G106">
        <v>9718</v>
      </c>
      <c r="H106">
        <v>309167</v>
      </c>
      <c r="I106">
        <v>21226</v>
      </c>
      <c r="J106">
        <v>2011</v>
      </c>
    </row>
    <row r="107" spans="1:10" x14ac:dyDescent="0.35">
      <c r="A107" t="s">
        <v>66</v>
      </c>
      <c r="B107" t="s">
        <v>52</v>
      </c>
      <c r="C107">
        <v>8.1</v>
      </c>
      <c r="D107" t="str">
        <f t="shared" si="1"/>
        <v>5-10 Years</v>
      </c>
      <c r="E107">
        <v>704</v>
      </c>
      <c r="F107">
        <v>4.0999999999999996</v>
      </c>
      <c r="G107">
        <v>589</v>
      </c>
      <c r="H107">
        <v>13427</v>
      </c>
      <c r="I107">
        <v>3690</v>
      </c>
      <c r="J107">
        <v>2011</v>
      </c>
    </row>
    <row r="108" spans="1:10" x14ac:dyDescent="0.35">
      <c r="A108" t="s">
        <v>66</v>
      </c>
      <c r="B108" t="s">
        <v>50</v>
      </c>
      <c r="C108">
        <v>4.7</v>
      </c>
      <c r="D108" t="str">
        <f t="shared" si="1"/>
        <v>&lt;5 Years</v>
      </c>
      <c r="E108">
        <v>3992</v>
      </c>
      <c r="F108">
        <v>5.3</v>
      </c>
      <c r="G108">
        <v>4745</v>
      </c>
      <c r="H108">
        <v>153477</v>
      </c>
      <c r="I108">
        <v>18714</v>
      </c>
      <c r="J108">
        <v>2011</v>
      </c>
    </row>
    <row r="109" spans="1:10" x14ac:dyDescent="0.35">
      <c r="A109" t="s">
        <v>66</v>
      </c>
      <c r="B109" t="s">
        <v>17</v>
      </c>
      <c r="C109">
        <v>6.3</v>
      </c>
      <c r="D109" t="str">
        <f t="shared" si="1"/>
        <v>5-10 Years</v>
      </c>
      <c r="E109">
        <v>484</v>
      </c>
      <c r="F109">
        <v>4.0999999999999996</v>
      </c>
      <c r="G109">
        <v>944</v>
      </c>
      <c r="H109">
        <v>14875</v>
      </c>
      <c r="I109">
        <v>2316</v>
      </c>
      <c r="J109">
        <v>2011</v>
      </c>
    </row>
    <row r="110" spans="1:10" x14ac:dyDescent="0.35">
      <c r="A110" t="s">
        <v>66</v>
      </c>
      <c r="B110" t="s">
        <v>46</v>
      </c>
      <c r="C110">
        <v>4.8</v>
      </c>
      <c r="D110" t="str">
        <f t="shared" si="1"/>
        <v>&lt;5 Years</v>
      </c>
      <c r="E110">
        <v>62</v>
      </c>
      <c r="F110">
        <v>4.0999999999999996</v>
      </c>
      <c r="G110">
        <v>9</v>
      </c>
      <c r="H110">
        <v>464</v>
      </c>
      <c r="I110">
        <v>517</v>
      </c>
      <c r="J110">
        <v>2011</v>
      </c>
    </row>
    <row r="111" spans="1:10" x14ac:dyDescent="0.35">
      <c r="A111" t="s">
        <v>66</v>
      </c>
      <c r="B111" t="s">
        <v>49</v>
      </c>
      <c r="C111">
        <v>5</v>
      </c>
      <c r="D111" t="str">
        <f t="shared" si="1"/>
        <v>5-10 Years</v>
      </c>
      <c r="E111">
        <v>4184</v>
      </c>
      <c r="F111">
        <v>5.0999999999999996</v>
      </c>
      <c r="G111">
        <v>7686</v>
      </c>
      <c r="H111">
        <v>151141</v>
      </c>
      <c r="I111">
        <v>21009</v>
      </c>
      <c r="J111">
        <v>2011</v>
      </c>
    </row>
    <row r="112" spans="1:10" x14ac:dyDescent="0.35">
      <c r="A112" t="s">
        <v>68</v>
      </c>
      <c r="B112" t="s">
        <v>69</v>
      </c>
      <c r="C112">
        <v>3.6</v>
      </c>
      <c r="D112" t="str">
        <f t="shared" si="1"/>
        <v>&lt;5 Years</v>
      </c>
      <c r="E112">
        <v>7831</v>
      </c>
      <c r="F112">
        <v>4.8</v>
      </c>
      <c r="G112">
        <v>9391</v>
      </c>
      <c r="H112">
        <v>368679</v>
      </c>
      <c r="I112">
        <v>36249</v>
      </c>
      <c r="J112">
        <v>2012</v>
      </c>
    </row>
    <row r="113" spans="1:10" x14ac:dyDescent="0.35">
      <c r="A113" t="s">
        <v>68</v>
      </c>
      <c r="B113" t="s">
        <v>38</v>
      </c>
      <c r="C113">
        <v>5</v>
      </c>
      <c r="D113" t="str">
        <f t="shared" si="1"/>
        <v>5-10 Years</v>
      </c>
      <c r="E113">
        <v>2107</v>
      </c>
      <c r="F113">
        <v>5.4</v>
      </c>
      <c r="G113">
        <v>5880</v>
      </c>
      <c r="H113">
        <v>167153</v>
      </c>
      <c r="I113">
        <v>13075</v>
      </c>
      <c r="J113">
        <v>2012</v>
      </c>
    </row>
    <row r="114" spans="1:10" x14ac:dyDescent="0.35">
      <c r="A114" t="s">
        <v>68</v>
      </c>
      <c r="B114" t="s">
        <v>22</v>
      </c>
      <c r="C114">
        <v>3.1</v>
      </c>
      <c r="D114" t="str">
        <f t="shared" si="1"/>
        <v>&lt;5 Years</v>
      </c>
      <c r="E114">
        <v>17497</v>
      </c>
      <c r="F114">
        <v>4.9000000000000004</v>
      </c>
      <c r="G114">
        <v>26064</v>
      </c>
      <c r="H114">
        <v>536151</v>
      </c>
      <c r="I114">
        <v>100052</v>
      </c>
      <c r="J114">
        <v>2012</v>
      </c>
    </row>
    <row r="115" spans="1:10" x14ac:dyDescent="0.35">
      <c r="A115" t="s">
        <v>68</v>
      </c>
      <c r="B115" t="s">
        <v>30</v>
      </c>
      <c r="C115">
        <v>3.1</v>
      </c>
      <c r="D115" t="str">
        <f t="shared" si="1"/>
        <v>&lt;5 Years</v>
      </c>
      <c r="E115">
        <v>3755</v>
      </c>
      <c r="F115">
        <v>4.8</v>
      </c>
      <c r="G115">
        <v>4527</v>
      </c>
      <c r="H115">
        <v>164849</v>
      </c>
      <c r="I115">
        <v>18974</v>
      </c>
      <c r="J115">
        <v>2012</v>
      </c>
    </row>
    <row r="116" spans="1:10" x14ac:dyDescent="0.35">
      <c r="A116" t="s">
        <v>68</v>
      </c>
      <c r="B116" t="s">
        <v>20</v>
      </c>
      <c r="C116">
        <v>9</v>
      </c>
      <c r="D116" t="str">
        <f t="shared" si="1"/>
        <v>5-10 Years</v>
      </c>
      <c r="E116">
        <v>52</v>
      </c>
      <c r="F116">
        <v>3.6</v>
      </c>
      <c r="G116">
        <v>3</v>
      </c>
      <c r="H116">
        <v>275</v>
      </c>
      <c r="I116">
        <v>288</v>
      </c>
      <c r="J116">
        <v>2012</v>
      </c>
    </row>
    <row r="117" spans="1:10" x14ac:dyDescent="0.35">
      <c r="A117" t="s">
        <v>68</v>
      </c>
      <c r="B117" t="s">
        <v>52</v>
      </c>
      <c r="C117">
        <v>7.4</v>
      </c>
      <c r="D117" t="str">
        <f t="shared" si="1"/>
        <v>5-10 Years</v>
      </c>
      <c r="E117">
        <v>720</v>
      </c>
      <c r="F117">
        <v>4</v>
      </c>
      <c r="G117">
        <v>672</v>
      </c>
      <c r="H117">
        <v>15614</v>
      </c>
      <c r="I117">
        <v>3410</v>
      </c>
      <c r="J117">
        <v>2012</v>
      </c>
    </row>
    <row r="118" spans="1:10" x14ac:dyDescent="0.35">
      <c r="A118" t="s">
        <v>68</v>
      </c>
      <c r="B118" t="s">
        <v>34</v>
      </c>
      <c r="C118">
        <v>4.3</v>
      </c>
      <c r="D118" t="str">
        <f t="shared" si="1"/>
        <v>&lt;5 Years</v>
      </c>
      <c r="E118">
        <v>2409</v>
      </c>
      <c r="F118">
        <v>5.4</v>
      </c>
      <c r="G118">
        <v>6797</v>
      </c>
      <c r="H118">
        <v>188091</v>
      </c>
      <c r="I118">
        <v>14735</v>
      </c>
      <c r="J118">
        <v>2012</v>
      </c>
    </row>
    <row r="119" spans="1:10" x14ac:dyDescent="0.35">
      <c r="A119" t="s">
        <v>68</v>
      </c>
      <c r="B119" t="s">
        <v>50</v>
      </c>
      <c r="C119">
        <v>5.0999999999999996</v>
      </c>
      <c r="D119" t="str">
        <f t="shared" si="1"/>
        <v>5-10 Years</v>
      </c>
      <c r="E119">
        <v>4058</v>
      </c>
      <c r="F119">
        <v>5.2</v>
      </c>
      <c r="G119">
        <v>4836</v>
      </c>
      <c r="H119">
        <v>154908</v>
      </c>
      <c r="I119">
        <v>18455</v>
      </c>
      <c r="J119">
        <v>2012</v>
      </c>
    </row>
    <row r="120" spans="1:10" x14ac:dyDescent="0.35">
      <c r="A120" t="s">
        <v>68</v>
      </c>
      <c r="B120" t="s">
        <v>45</v>
      </c>
      <c r="C120">
        <v>7.2</v>
      </c>
      <c r="D120" t="str">
        <f t="shared" si="1"/>
        <v>5-10 Years</v>
      </c>
      <c r="E120">
        <v>1832</v>
      </c>
      <c r="F120">
        <v>3.3</v>
      </c>
      <c r="G120">
        <v>4352</v>
      </c>
      <c r="H120">
        <v>43985</v>
      </c>
      <c r="I120">
        <v>10879</v>
      </c>
      <c r="J120">
        <v>2012</v>
      </c>
    </row>
    <row r="121" spans="1:10" x14ac:dyDescent="0.35">
      <c r="A121" t="s">
        <v>68</v>
      </c>
      <c r="B121" t="s">
        <v>29</v>
      </c>
      <c r="C121">
        <v>4.7</v>
      </c>
      <c r="D121" t="str">
        <f t="shared" si="1"/>
        <v>&lt;5 Years</v>
      </c>
      <c r="E121">
        <v>3678</v>
      </c>
      <c r="F121">
        <v>5.6</v>
      </c>
      <c r="G121">
        <v>10617</v>
      </c>
      <c r="H121">
        <v>264658</v>
      </c>
      <c r="I121">
        <v>22106</v>
      </c>
      <c r="J121">
        <v>2012</v>
      </c>
    </row>
    <row r="122" spans="1:10" x14ac:dyDescent="0.35">
      <c r="A122" t="s">
        <v>68</v>
      </c>
      <c r="B122" t="s">
        <v>51</v>
      </c>
      <c r="C122">
        <v>4.0999999999999996</v>
      </c>
      <c r="D122" t="str">
        <f t="shared" si="1"/>
        <v>&lt;5 Years</v>
      </c>
      <c r="E122">
        <v>4480</v>
      </c>
      <c r="F122">
        <v>4.9000000000000004</v>
      </c>
      <c r="G122">
        <v>3129</v>
      </c>
      <c r="H122">
        <v>211371</v>
      </c>
      <c r="I122">
        <v>19822</v>
      </c>
      <c r="J122">
        <v>2012</v>
      </c>
    </row>
    <row r="123" spans="1:10" x14ac:dyDescent="0.35">
      <c r="A123" t="s">
        <v>68</v>
      </c>
      <c r="B123" t="s">
        <v>25</v>
      </c>
      <c r="C123">
        <v>4.5999999999999996</v>
      </c>
      <c r="D123" t="str">
        <f t="shared" si="1"/>
        <v>&lt;5 Years</v>
      </c>
      <c r="E123">
        <v>3129</v>
      </c>
      <c r="F123">
        <v>5.2</v>
      </c>
      <c r="G123">
        <v>9142</v>
      </c>
      <c r="H123">
        <v>223705</v>
      </c>
      <c r="I123">
        <v>17555</v>
      </c>
      <c r="J123">
        <v>2012</v>
      </c>
    </row>
    <row r="124" spans="1:10" x14ac:dyDescent="0.35">
      <c r="A124" t="s">
        <v>68</v>
      </c>
      <c r="B124" t="s">
        <v>17</v>
      </c>
      <c r="C124">
        <v>6.3</v>
      </c>
      <c r="D124" t="str">
        <f t="shared" si="1"/>
        <v>5-10 Years</v>
      </c>
      <c r="E124">
        <v>477</v>
      </c>
      <c r="F124">
        <v>4.0999999999999996</v>
      </c>
      <c r="G124">
        <v>948</v>
      </c>
      <c r="H124">
        <v>16040</v>
      </c>
      <c r="I124">
        <v>2244</v>
      </c>
      <c r="J124">
        <v>2012</v>
      </c>
    </row>
    <row r="125" spans="1:10" x14ac:dyDescent="0.35">
      <c r="A125" t="s">
        <v>68</v>
      </c>
      <c r="B125" t="s">
        <v>39</v>
      </c>
      <c r="C125">
        <v>6.6</v>
      </c>
      <c r="D125" t="str">
        <f t="shared" si="1"/>
        <v>5-10 Years</v>
      </c>
      <c r="E125">
        <v>4484</v>
      </c>
      <c r="F125">
        <v>2.9</v>
      </c>
      <c r="G125">
        <v>14096</v>
      </c>
      <c r="H125">
        <v>114458</v>
      </c>
      <c r="I125">
        <v>36620</v>
      </c>
      <c r="J125">
        <v>2012</v>
      </c>
    </row>
    <row r="126" spans="1:10" x14ac:dyDescent="0.35">
      <c r="A126" t="s">
        <v>68</v>
      </c>
      <c r="B126" t="s">
        <v>46</v>
      </c>
      <c r="C126">
        <v>5.9</v>
      </c>
      <c r="D126" t="str">
        <f t="shared" si="1"/>
        <v>5-10 Years</v>
      </c>
      <c r="E126">
        <v>63</v>
      </c>
      <c r="F126">
        <v>5</v>
      </c>
      <c r="G126">
        <v>9</v>
      </c>
      <c r="H126">
        <v>393</v>
      </c>
      <c r="I126">
        <v>480</v>
      </c>
      <c r="J126">
        <v>2012</v>
      </c>
    </row>
    <row r="127" spans="1:10" x14ac:dyDescent="0.35">
      <c r="A127" t="s">
        <v>68</v>
      </c>
      <c r="B127" t="s">
        <v>21</v>
      </c>
      <c r="C127">
        <v>3</v>
      </c>
      <c r="D127" t="str">
        <f t="shared" si="1"/>
        <v>&lt;5 Years</v>
      </c>
      <c r="E127">
        <v>1042</v>
      </c>
      <c r="F127">
        <v>5.0999999999999996</v>
      </c>
      <c r="G127">
        <v>242</v>
      </c>
      <c r="H127">
        <v>67143</v>
      </c>
      <c r="I127">
        <v>7002</v>
      </c>
      <c r="J127">
        <v>2012</v>
      </c>
    </row>
    <row r="128" spans="1:10" x14ac:dyDescent="0.35">
      <c r="A128" t="s">
        <v>68</v>
      </c>
      <c r="B128" t="s">
        <v>44</v>
      </c>
      <c r="C128">
        <v>6.7</v>
      </c>
      <c r="D128" t="str">
        <f t="shared" si="1"/>
        <v>5-10 Years</v>
      </c>
      <c r="E128">
        <v>1120</v>
      </c>
      <c r="F128">
        <v>3.2</v>
      </c>
      <c r="G128">
        <v>2396</v>
      </c>
      <c r="H128">
        <v>19023</v>
      </c>
      <c r="I128">
        <v>5739</v>
      </c>
      <c r="J128">
        <v>2012</v>
      </c>
    </row>
    <row r="129" spans="1:10" x14ac:dyDescent="0.35">
      <c r="A129" t="s">
        <v>68</v>
      </c>
      <c r="B129" t="s">
        <v>55</v>
      </c>
      <c r="C129">
        <v>4</v>
      </c>
      <c r="D129" t="str">
        <f t="shared" si="1"/>
        <v>&lt;5 Years</v>
      </c>
      <c r="E129">
        <v>1215</v>
      </c>
      <c r="F129">
        <v>4.7</v>
      </c>
      <c r="G129">
        <v>359</v>
      </c>
      <c r="H129">
        <v>1298</v>
      </c>
      <c r="I129">
        <v>7588</v>
      </c>
      <c r="J129">
        <v>2012</v>
      </c>
    </row>
    <row r="130" spans="1:10" x14ac:dyDescent="0.35">
      <c r="A130" t="s">
        <v>68</v>
      </c>
      <c r="B130" t="s">
        <v>41</v>
      </c>
      <c r="C130">
        <v>8.1999999999999993</v>
      </c>
      <c r="D130" t="str">
        <f t="shared" si="1"/>
        <v>5-10 Years</v>
      </c>
      <c r="E130">
        <v>227</v>
      </c>
      <c r="F130">
        <v>3.5</v>
      </c>
      <c r="G130">
        <v>133</v>
      </c>
      <c r="H130">
        <v>90</v>
      </c>
      <c r="I130">
        <v>858</v>
      </c>
      <c r="J130">
        <v>2012</v>
      </c>
    </row>
    <row r="131" spans="1:10" x14ac:dyDescent="0.35">
      <c r="A131" t="s">
        <v>68</v>
      </c>
      <c r="B131" t="s">
        <v>58</v>
      </c>
      <c r="C131">
        <v>7</v>
      </c>
      <c r="D131" t="str">
        <f t="shared" ref="D131:D194" si="2">IF(C131&lt;5,"&lt;5 Years",IF(C131&lt;=10,"5-10 Years","&gt;10 Years"))</f>
        <v>5-10 Years</v>
      </c>
      <c r="E131">
        <v>1201</v>
      </c>
      <c r="F131">
        <v>3.3</v>
      </c>
      <c r="G131">
        <v>1252</v>
      </c>
      <c r="H131">
        <v>45132</v>
      </c>
      <c r="I131">
        <v>2500</v>
      </c>
      <c r="J131">
        <v>2012</v>
      </c>
    </row>
    <row r="132" spans="1:10" x14ac:dyDescent="0.35">
      <c r="A132" t="s">
        <v>68</v>
      </c>
      <c r="B132" t="s">
        <v>60</v>
      </c>
      <c r="C132">
        <v>7</v>
      </c>
      <c r="D132" t="str">
        <f t="shared" si="2"/>
        <v>5-10 Years</v>
      </c>
      <c r="E132">
        <v>95</v>
      </c>
      <c r="F132">
        <v>4.3</v>
      </c>
      <c r="G132">
        <v>13</v>
      </c>
      <c r="H132">
        <v>441</v>
      </c>
      <c r="I132">
        <v>870</v>
      </c>
      <c r="J132">
        <v>2012</v>
      </c>
    </row>
    <row r="133" spans="1:10" x14ac:dyDescent="0.35">
      <c r="A133" t="s">
        <v>68</v>
      </c>
      <c r="B133" t="s">
        <v>56</v>
      </c>
      <c r="C133">
        <v>8</v>
      </c>
      <c r="D133" t="str">
        <f t="shared" si="2"/>
        <v>5-10 Years</v>
      </c>
      <c r="E133">
        <v>207</v>
      </c>
      <c r="F133">
        <v>3.3</v>
      </c>
      <c r="G133">
        <v>0.3</v>
      </c>
      <c r="H133">
        <v>78</v>
      </c>
      <c r="I133">
        <v>809</v>
      </c>
      <c r="J133">
        <v>2012</v>
      </c>
    </row>
    <row r="134" spans="1:10" x14ac:dyDescent="0.35">
      <c r="A134" t="s">
        <v>68</v>
      </c>
      <c r="B134" t="s">
        <v>26</v>
      </c>
      <c r="C134">
        <v>6.5</v>
      </c>
      <c r="D134" t="str">
        <f t="shared" si="2"/>
        <v>5-10 Years</v>
      </c>
      <c r="E134">
        <v>425</v>
      </c>
      <c r="F134">
        <v>4.5</v>
      </c>
      <c r="G134">
        <v>301</v>
      </c>
      <c r="H134">
        <v>7902</v>
      </c>
      <c r="I134">
        <v>1861</v>
      </c>
      <c r="J134">
        <v>2012</v>
      </c>
    </row>
    <row r="135" spans="1:10" x14ac:dyDescent="0.35">
      <c r="A135" t="s">
        <v>68</v>
      </c>
      <c r="B135" t="s">
        <v>59</v>
      </c>
      <c r="C135">
        <v>7</v>
      </c>
      <c r="D135" t="str">
        <f t="shared" si="2"/>
        <v>5-10 Years</v>
      </c>
      <c r="E135">
        <v>726</v>
      </c>
      <c r="F135">
        <v>4.5</v>
      </c>
      <c r="G135">
        <v>372</v>
      </c>
      <c r="H135">
        <v>16750</v>
      </c>
      <c r="I135">
        <v>5013</v>
      </c>
      <c r="J135">
        <v>2012</v>
      </c>
    </row>
    <row r="136" spans="1:10" x14ac:dyDescent="0.35">
      <c r="A136" t="s">
        <v>68</v>
      </c>
      <c r="B136" t="s">
        <v>19</v>
      </c>
      <c r="C136">
        <v>4.3</v>
      </c>
      <c r="D136" t="str">
        <f t="shared" si="2"/>
        <v>&lt;5 Years</v>
      </c>
      <c r="E136">
        <v>3585</v>
      </c>
      <c r="F136">
        <v>4.3</v>
      </c>
      <c r="G136">
        <v>17544</v>
      </c>
      <c r="H136">
        <v>187962</v>
      </c>
      <c r="I136">
        <v>23519</v>
      </c>
      <c r="J136">
        <v>2012</v>
      </c>
    </row>
    <row r="137" spans="1:10" x14ac:dyDescent="0.35">
      <c r="A137" t="s">
        <v>68</v>
      </c>
      <c r="B137" t="s">
        <v>37</v>
      </c>
      <c r="C137">
        <v>4.5999999999999996</v>
      </c>
      <c r="D137" t="str">
        <f t="shared" si="2"/>
        <v>&lt;5 Years</v>
      </c>
      <c r="E137">
        <v>6328</v>
      </c>
      <c r="F137">
        <v>3.8</v>
      </c>
      <c r="G137">
        <v>17112</v>
      </c>
      <c r="H137">
        <v>214586</v>
      </c>
      <c r="I137">
        <v>34278</v>
      </c>
      <c r="J137">
        <v>2012</v>
      </c>
    </row>
    <row r="138" spans="1:10" x14ac:dyDescent="0.35">
      <c r="A138" t="s">
        <v>68</v>
      </c>
      <c r="B138" t="s">
        <v>36</v>
      </c>
      <c r="C138">
        <v>10.8</v>
      </c>
      <c r="D138" t="str">
        <f t="shared" si="2"/>
        <v>&gt;10 Years</v>
      </c>
      <c r="E138">
        <v>414</v>
      </c>
      <c r="F138">
        <v>4.3</v>
      </c>
      <c r="G138">
        <v>53</v>
      </c>
      <c r="H138">
        <v>3575</v>
      </c>
      <c r="I138">
        <v>1204</v>
      </c>
      <c r="J138">
        <v>2012</v>
      </c>
    </row>
    <row r="139" spans="1:10" x14ac:dyDescent="0.35">
      <c r="A139" t="s">
        <v>68</v>
      </c>
      <c r="B139" t="s">
        <v>35</v>
      </c>
      <c r="C139">
        <v>5.4</v>
      </c>
      <c r="D139" t="str">
        <f t="shared" si="2"/>
        <v>5-10 Years</v>
      </c>
      <c r="E139">
        <v>779</v>
      </c>
      <c r="F139">
        <v>3</v>
      </c>
      <c r="G139">
        <v>1077</v>
      </c>
      <c r="H139">
        <v>12175</v>
      </c>
      <c r="I139">
        <v>5485</v>
      </c>
      <c r="J139">
        <v>2012</v>
      </c>
    </row>
    <row r="140" spans="1:10" x14ac:dyDescent="0.35">
      <c r="A140" t="s">
        <v>68</v>
      </c>
      <c r="B140" t="s">
        <v>32</v>
      </c>
      <c r="C140">
        <v>5</v>
      </c>
      <c r="D140" t="str">
        <f t="shared" si="2"/>
        <v>5-10 Years</v>
      </c>
      <c r="E140">
        <v>5602</v>
      </c>
      <c r="F140">
        <v>2.8</v>
      </c>
      <c r="G140">
        <v>17072</v>
      </c>
      <c r="H140">
        <v>180220</v>
      </c>
      <c r="I140">
        <v>38103</v>
      </c>
      <c r="J140">
        <v>2012</v>
      </c>
    </row>
    <row r="141" spans="1:10" x14ac:dyDescent="0.35">
      <c r="A141" t="s">
        <v>68</v>
      </c>
      <c r="B141" t="s">
        <v>42</v>
      </c>
      <c r="C141">
        <v>4.7</v>
      </c>
      <c r="D141" t="str">
        <f t="shared" si="2"/>
        <v>&lt;5 Years</v>
      </c>
      <c r="E141">
        <v>3400</v>
      </c>
      <c r="F141">
        <v>5.6</v>
      </c>
      <c r="G141">
        <v>8568</v>
      </c>
      <c r="H141">
        <v>280069</v>
      </c>
      <c r="I141">
        <v>22629</v>
      </c>
      <c r="J141">
        <v>2012</v>
      </c>
    </row>
    <row r="142" spans="1:10" x14ac:dyDescent="0.35">
      <c r="A142" t="s">
        <v>68</v>
      </c>
      <c r="B142" t="s">
        <v>33</v>
      </c>
      <c r="C142">
        <v>6.1</v>
      </c>
      <c r="D142" t="str">
        <f t="shared" si="2"/>
        <v>5-10 Years</v>
      </c>
      <c r="E142">
        <v>472</v>
      </c>
      <c r="F142">
        <v>3.6</v>
      </c>
      <c r="G142">
        <v>672</v>
      </c>
      <c r="H142">
        <v>17165</v>
      </c>
      <c r="I142">
        <v>1921</v>
      </c>
      <c r="J142">
        <v>2012</v>
      </c>
    </row>
    <row r="143" spans="1:10" x14ac:dyDescent="0.35">
      <c r="A143" t="s">
        <v>68</v>
      </c>
      <c r="B143" t="s">
        <v>27</v>
      </c>
      <c r="C143">
        <v>9</v>
      </c>
      <c r="D143" t="str">
        <f t="shared" si="2"/>
        <v>5-10 Years</v>
      </c>
      <c r="E143">
        <v>704</v>
      </c>
      <c r="F143">
        <v>4.2</v>
      </c>
      <c r="G143">
        <v>51</v>
      </c>
      <c r="H143">
        <v>6929</v>
      </c>
      <c r="I143">
        <v>2207</v>
      </c>
      <c r="J143">
        <v>2012</v>
      </c>
    </row>
    <row r="144" spans="1:10" x14ac:dyDescent="0.35">
      <c r="A144" t="s">
        <v>80</v>
      </c>
      <c r="B144" t="s">
        <v>41</v>
      </c>
      <c r="C144">
        <v>7.3</v>
      </c>
      <c r="D144" t="str">
        <f t="shared" si="2"/>
        <v>5-10 Years</v>
      </c>
      <c r="E144">
        <v>258</v>
      </c>
      <c r="F144">
        <v>3.79</v>
      </c>
      <c r="G144">
        <v>102</v>
      </c>
      <c r="H144">
        <v>100</v>
      </c>
      <c r="I144">
        <v>858</v>
      </c>
      <c r="J144">
        <v>2013</v>
      </c>
    </row>
    <row r="145" spans="1:10" x14ac:dyDescent="0.35">
      <c r="A145" t="s">
        <v>80</v>
      </c>
      <c r="B145" t="s">
        <v>37</v>
      </c>
      <c r="C145">
        <v>5.3</v>
      </c>
      <c r="D145" t="str">
        <f t="shared" si="2"/>
        <v>5-10 Years</v>
      </c>
      <c r="E145">
        <v>6603</v>
      </c>
      <c r="F145">
        <v>3.82</v>
      </c>
      <c r="G145">
        <v>18342</v>
      </c>
      <c r="H145">
        <v>198797</v>
      </c>
      <c r="I145">
        <v>36076</v>
      </c>
      <c r="J145">
        <v>2013</v>
      </c>
    </row>
    <row r="146" spans="1:10" x14ac:dyDescent="0.35">
      <c r="A146" t="s">
        <v>80</v>
      </c>
      <c r="B146" t="s">
        <v>36</v>
      </c>
      <c r="C146">
        <v>11.8</v>
      </c>
      <c r="D146" t="str">
        <f t="shared" si="2"/>
        <v>&gt;10 Years</v>
      </c>
      <c r="E146">
        <v>414</v>
      </c>
      <c r="F146">
        <v>4.3099999999999996</v>
      </c>
      <c r="G146">
        <v>26</v>
      </c>
      <c r="H146">
        <v>2678</v>
      </c>
      <c r="I146">
        <v>920</v>
      </c>
      <c r="J146">
        <v>2013</v>
      </c>
    </row>
    <row r="147" spans="1:10" x14ac:dyDescent="0.35">
      <c r="A147" t="s">
        <v>80</v>
      </c>
      <c r="B147" t="s">
        <v>35</v>
      </c>
      <c r="C147">
        <v>5.7</v>
      </c>
      <c r="D147" t="str">
        <f t="shared" si="2"/>
        <v>5-10 Years</v>
      </c>
      <c r="E147">
        <v>718</v>
      </c>
      <c r="F147">
        <v>2.96</v>
      </c>
      <c r="G147">
        <v>865</v>
      </c>
      <c r="H147">
        <v>10120</v>
      </c>
      <c r="I147">
        <v>5059</v>
      </c>
      <c r="J147">
        <v>2013</v>
      </c>
    </row>
    <row r="148" spans="1:10" x14ac:dyDescent="0.35">
      <c r="A148" t="s">
        <v>80</v>
      </c>
      <c r="B148" t="s">
        <v>32</v>
      </c>
      <c r="C148">
        <v>6.3</v>
      </c>
      <c r="D148" t="str">
        <f t="shared" si="2"/>
        <v>5-10 Years</v>
      </c>
      <c r="E148">
        <v>5341</v>
      </c>
      <c r="F148">
        <v>2.79</v>
      </c>
      <c r="G148">
        <v>15868</v>
      </c>
      <c r="H148">
        <v>155143</v>
      </c>
      <c r="I148">
        <v>35503</v>
      </c>
      <c r="J148">
        <v>2013</v>
      </c>
    </row>
    <row r="149" spans="1:10" x14ac:dyDescent="0.35">
      <c r="A149" t="s">
        <v>80</v>
      </c>
      <c r="B149" t="s">
        <v>42</v>
      </c>
      <c r="C149">
        <v>4.9000000000000004</v>
      </c>
      <c r="D149" t="str">
        <f t="shared" si="2"/>
        <v>&lt;5 Years</v>
      </c>
      <c r="E149">
        <v>3469</v>
      </c>
      <c r="F149">
        <v>5.56</v>
      </c>
      <c r="G149">
        <v>8498</v>
      </c>
      <c r="H149">
        <v>284793</v>
      </c>
      <c r="I149">
        <v>22821</v>
      </c>
      <c r="J149">
        <v>2013</v>
      </c>
    </row>
    <row r="150" spans="1:10" x14ac:dyDescent="0.35">
      <c r="A150" t="s">
        <v>80</v>
      </c>
      <c r="B150" t="s">
        <v>31</v>
      </c>
      <c r="C150">
        <v>4</v>
      </c>
      <c r="D150" t="str">
        <f t="shared" si="2"/>
        <v>&lt;5 Years</v>
      </c>
      <c r="E150">
        <v>7852</v>
      </c>
      <c r="F150">
        <v>5.5</v>
      </c>
      <c r="G150">
        <v>8050</v>
      </c>
      <c r="H150">
        <v>336104</v>
      </c>
      <c r="I150">
        <v>40070</v>
      </c>
      <c r="J150">
        <v>2013</v>
      </c>
    </row>
    <row r="151" spans="1:10" x14ac:dyDescent="0.35">
      <c r="A151" t="s">
        <v>80</v>
      </c>
      <c r="B151" t="s">
        <v>27</v>
      </c>
      <c r="C151">
        <v>10.3</v>
      </c>
      <c r="D151" t="str">
        <f t="shared" si="2"/>
        <v>&gt;10 Years</v>
      </c>
      <c r="E151">
        <v>694</v>
      </c>
      <c r="F151">
        <v>4.28</v>
      </c>
      <c r="G151">
        <v>52</v>
      </c>
      <c r="H151">
        <v>6436</v>
      </c>
      <c r="I151">
        <v>2035</v>
      </c>
      <c r="J151">
        <v>2013</v>
      </c>
    </row>
    <row r="152" spans="1:10" x14ac:dyDescent="0.35">
      <c r="A152" t="s">
        <v>80</v>
      </c>
      <c r="B152" t="s">
        <v>38</v>
      </c>
      <c r="C152">
        <v>5.7</v>
      </c>
      <c r="D152" t="str">
        <f t="shared" si="2"/>
        <v>5-10 Years</v>
      </c>
      <c r="E152">
        <v>2237</v>
      </c>
      <c r="F152">
        <v>5.47</v>
      </c>
      <c r="G152">
        <v>5654</v>
      </c>
      <c r="H152">
        <v>162010</v>
      </c>
      <c r="I152">
        <v>14106</v>
      </c>
      <c r="J152">
        <v>2013</v>
      </c>
    </row>
    <row r="153" spans="1:10" x14ac:dyDescent="0.35">
      <c r="A153" t="s">
        <v>80</v>
      </c>
      <c r="B153" t="s">
        <v>69</v>
      </c>
      <c r="C153">
        <v>3.8</v>
      </c>
      <c r="D153" t="str">
        <f t="shared" si="2"/>
        <v>&lt;5 Years</v>
      </c>
      <c r="E153">
        <v>8243</v>
      </c>
      <c r="F153">
        <v>4.76</v>
      </c>
      <c r="G153">
        <v>9662</v>
      </c>
      <c r="H153">
        <v>354625</v>
      </c>
      <c r="I153">
        <v>38776</v>
      </c>
      <c r="J153">
        <v>2013</v>
      </c>
    </row>
    <row r="154" spans="1:10" x14ac:dyDescent="0.35">
      <c r="A154" t="s">
        <v>80</v>
      </c>
      <c r="B154" t="s">
        <v>33</v>
      </c>
      <c r="C154">
        <v>6.9</v>
      </c>
      <c r="D154" t="str">
        <f t="shared" si="2"/>
        <v>5-10 Years</v>
      </c>
      <c r="E154">
        <v>468</v>
      </c>
      <c r="F154">
        <v>3.42</v>
      </c>
      <c r="G154">
        <v>612</v>
      </c>
      <c r="H154">
        <v>15419</v>
      </c>
      <c r="I154">
        <v>1826</v>
      </c>
      <c r="J154">
        <v>2013</v>
      </c>
    </row>
    <row r="155" spans="1:10" x14ac:dyDescent="0.35">
      <c r="A155" t="s">
        <v>80</v>
      </c>
      <c r="B155" t="s">
        <v>22</v>
      </c>
      <c r="C155">
        <v>4</v>
      </c>
      <c r="D155" t="str">
        <f t="shared" si="2"/>
        <v>&lt;5 Years</v>
      </c>
      <c r="E155">
        <v>18055</v>
      </c>
      <c r="F155">
        <v>4.7699999999999996</v>
      </c>
      <c r="G155">
        <v>25630</v>
      </c>
      <c r="H155">
        <v>525761</v>
      </c>
      <c r="I155">
        <v>107709</v>
      </c>
      <c r="J155">
        <v>2013</v>
      </c>
    </row>
    <row r="156" spans="1:10" x14ac:dyDescent="0.35">
      <c r="A156" t="s">
        <v>80</v>
      </c>
      <c r="B156" t="s">
        <v>64</v>
      </c>
      <c r="C156">
        <v>11</v>
      </c>
      <c r="D156" t="str">
        <f t="shared" si="2"/>
        <v>&gt;10 Years</v>
      </c>
      <c r="E156">
        <v>82</v>
      </c>
      <c r="F156">
        <v>3.5</v>
      </c>
      <c r="G156">
        <v>164</v>
      </c>
      <c r="H156">
        <v>55</v>
      </c>
      <c r="I156">
        <v>550</v>
      </c>
      <c r="J156">
        <v>2013</v>
      </c>
    </row>
    <row r="157" spans="1:10" x14ac:dyDescent="0.35">
      <c r="A157" t="s">
        <v>80</v>
      </c>
      <c r="B157" t="s">
        <v>20</v>
      </c>
      <c r="C157">
        <v>8</v>
      </c>
      <c r="D157" t="str">
        <f t="shared" si="2"/>
        <v>5-10 Years</v>
      </c>
      <c r="E157">
        <v>65</v>
      </c>
      <c r="F157">
        <v>4.57</v>
      </c>
      <c r="G157">
        <v>4</v>
      </c>
      <c r="H157">
        <v>394</v>
      </c>
      <c r="I157">
        <v>276</v>
      </c>
      <c r="J157">
        <v>2013</v>
      </c>
    </row>
    <row r="158" spans="1:10" x14ac:dyDescent="0.35">
      <c r="A158" t="s">
        <v>80</v>
      </c>
      <c r="B158" t="s">
        <v>34</v>
      </c>
      <c r="C158">
        <v>4.8</v>
      </c>
      <c r="D158" t="str">
        <f t="shared" si="2"/>
        <v>&lt;5 Years</v>
      </c>
      <c r="E158">
        <v>2509</v>
      </c>
      <c r="F158">
        <v>5.37</v>
      </c>
      <c r="G158">
        <v>6713</v>
      </c>
      <c r="H158">
        <v>190221</v>
      </c>
      <c r="I158">
        <v>14813</v>
      </c>
      <c r="J158">
        <v>2013</v>
      </c>
    </row>
    <row r="159" spans="1:10" x14ac:dyDescent="0.35">
      <c r="A159" t="s">
        <v>80</v>
      </c>
      <c r="B159" t="s">
        <v>52</v>
      </c>
      <c r="C159">
        <v>8.4</v>
      </c>
      <c r="D159" t="str">
        <f t="shared" si="2"/>
        <v>5-10 Years</v>
      </c>
      <c r="E159">
        <v>688</v>
      </c>
      <c r="F159">
        <v>3.94</v>
      </c>
      <c r="G159">
        <v>645</v>
      </c>
      <c r="H159">
        <v>14560</v>
      </c>
      <c r="I159">
        <v>3111</v>
      </c>
      <c r="J159">
        <v>2013</v>
      </c>
    </row>
    <row r="160" spans="1:10" x14ac:dyDescent="0.35">
      <c r="A160" t="s">
        <v>80</v>
      </c>
      <c r="B160" t="s">
        <v>45</v>
      </c>
      <c r="C160">
        <v>8</v>
      </c>
      <c r="D160" t="str">
        <f t="shared" si="2"/>
        <v>5-10 Years</v>
      </c>
      <c r="E160">
        <v>1841</v>
      </c>
      <c r="F160">
        <v>3.21</v>
      </c>
      <c r="G160">
        <v>4249</v>
      </c>
      <c r="H160">
        <v>47931</v>
      </c>
      <c r="I160">
        <v>10466</v>
      </c>
      <c r="J160">
        <v>2013</v>
      </c>
    </row>
    <row r="161" spans="1:10" x14ac:dyDescent="0.35">
      <c r="A161" t="s">
        <v>80</v>
      </c>
      <c r="B161" t="s">
        <v>50</v>
      </c>
      <c r="C161">
        <v>5.3</v>
      </c>
      <c r="D161" t="str">
        <f t="shared" si="2"/>
        <v>5-10 Years</v>
      </c>
      <c r="E161">
        <v>4247</v>
      </c>
      <c r="F161">
        <v>5.14</v>
      </c>
      <c r="G161">
        <v>4873</v>
      </c>
      <c r="H161">
        <v>153732</v>
      </c>
      <c r="I161">
        <v>19128</v>
      </c>
      <c r="J161">
        <v>2013</v>
      </c>
    </row>
    <row r="162" spans="1:10" x14ac:dyDescent="0.35">
      <c r="A162" t="s">
        <v>80</v>
      </c>
      <c r="B162" t="s">
        <v>29</v>
      </c>
      <c r="C162">
        <v>5.0999999999999996</v>
      </c>
      <c r="D162" t="str">
        <f t="shared" si="2"/>
        <v>5-10 Years</v>
      </c>
      <c r="E162">
        <v>3760</v>
      </c>
      <c r="F162">
        <v>5.59</v>
      </c>
      <c r="G162">
        <v>10750</v>
      </c>
      <c r="H162">
        <v>268500</v>
      </c>
      <c r="I162">
        <v>23329</v>
      </c>
      <c r="J162">
        <v>2013</v>
      </c>
    </row>
    <row r="163" spans="1:10" x14ac:dyDescent="0.35">
      <c r="A163" t="s">
        <v>80</v>
      </c>
      <c r="B163" t="s">
        <v>49</v>
      </c>
      <c r="C163">
        <v>5.2</v>
      </c>
      <c r="D163" t="str">
        <f t="shared" si="2"/>
        <v>5-10 Years</v>
      </c>
      <c r="E163">
        <v>4615</v>
      </c>
      <c r="F163">
        <v>5.0999999999999996</v>
      </c>
      <c r="G163">
        <v>8213</v>
      </c>
      <c r="H163">
        <v>172959</v>
      </c>
      <c r="I163">
        <v>22508</v>
      </c>
      <c r="J163">
        <v>2013</v>
      </c>
    </row>
    <row r="164" spans="1:10" x14ac:dyDescent="0.35">
      <c r="A164" t="s">
        <v>80</v>
      </c>
      <c r="B164" t="s">
        <v>14</v>
      </c>
      <c r="C164">
        <v>5.3</v>
      </c>
      <c r="D164" t="str">
        <f t="shared" si="2"/>
        <v>5-10 Years</v>
      </c>
      <c r="E164">
        <v>356</v>
      </c>
      <c r="F164">
        <v>2.99</v>
      </c>
      <c r="G164">
        <v>746</v>
      </c>
      <c r="H164">
        <v>232</v>
      </c>
      <c r="I164">
        <v>2218</v>
      </c>
      <c r="J164">
        <v>2013</v>
      </c>
    </row>
    <row r="165" spans="1:10" x14ac:dyDescent="0.35">
      <c r="A165" t="s">
        <v>80</v>
      </c>
      <c r="B165" t="s">
        <v>48</v>
      </c>
      <c r="C165">
        <v>3.8</v>
      </c>
      <c r="D165" t="str">
        <f t="shared" si="2"/>
        <v>&lt;5 Years</v>
      </c>
      <c r="E165">
        <v>422</v>
      </c>
      <c r="F165">
        <v>4.66</v>
      </c>
      <c r="G165">
        <v>55</v>
      </c>
      <c r="H165">
        <v>15990</v>
      </c>
      <c r="I165">
        <v>697</v>
      </c>
      <c r="J165">
        <v>2013</v>
      </c>
    </row>
    <row r="166" spans="1:10" x14ac:dyDescent="0.35">
      <c r="A166" t="s">
        <v>80</v>
      </c>
      <c r="B166" t="s">
        <v>25</v>
      </c>
      <c r="C166">
        <v>5.0999999999999996</v>
      </c>
      <c r="D166" t="str">
        <f t="shared" si="2"/>
        <v>5-10 Years</v>
      </c>
      <c r="E166">
        <v>3207</v>
      </c>
      <c r="F166">
        <v>5.17</v>
      </c>
      <c r="G166">
        <v>9023</v>
      </c>
      <c r="H166">
        <v>227784</v>
      </c>
      <c r="I166">
        <v>19152</v>
      </c>
      <c r="J166">
        <v>2013</v>
      </c>
    </row>
    <row r="167" spans="1:10" x14ac:dyDescent="0.35">
      <c r="A167" t="s">
        <v>80</v>
      </c>
      <c r="B167" t="s">
        <v>51</v>
      </c>
      <c r="C167">
        <v>3.7</v>
      </c>
      <c r="D167" t="str">
        <f t="shared" si="2"/>
        <v>&lt;5 Years</v>
      </c>
      <c r="E167">
        <v>4674</v>
      </c>
      <c r="F167">
        <v>4.93</v>
      </c>
      <c r="G167">
        <v>3466</v>
      </c>
      <c r="H167">
        <v>222145</v>
      </c>
      <c r="I167">
        <v>21384</v>
      </c>
      <c r="J167">
        <v>2013</v>
      </c>
    </row>
    <row r="168" spans="1:10" x14ac:dyDescent="0.35">
      <c r="A168" t="s">
        <v>80</v>
      </c>
      <c r="B168" t="s">
        <v>17</v>
      </c>
      <c r="C168">
        <v>6.1</v>
      </c>
      <c r="D168" t="str">
        <f t="shared" si="2"/>
        <v>5-10 Years</v>
      </c>
      <c r="E168">
        <v>424</v>
      </c>
      <c r="F168">
        <v>4.0999999999999996</v>
      </c>
      <c r="G168">
        <v>957</v>
      </c>
      <c r="H168">
        <v>16734</v>
      </c>
      <c r="I168">
        <v>2031</v>
      </c>
      <c r="J168">
        <v>2013</v>
      </c>
    </row>
    <row r="169" spans="1:10" x14ac:dyDescent="0.35">
      <c r="A169" t="s">
        <v>80</v>
      </c>
      <c r="B169" t="s">
        <v>18</v>
      </c>
      <c r="C169">
        <v>5.2</v>
      </c>
      <c r="D169" t="str">
        <f t="shared" si="2"/>
        <v>5-10 Years</v>
      </c>
      <c r="E169">
        <v>34</v>
      </c>
      <c r="F169">
        <v>3</v>
      </c>
      <c r="G169">
        <v>0</v>
      </c>
      <c r="H169">
        <v>174</v>
      </c>
      <c r="I169">
        <v>418</v>
      </c>
      <c r="J169">
        <v>2013</v>
      </c>
    </row>
    <row r="170" spans="1:10" x14ac:dyDescent="0.35">
      <c r="A170" t="s">
        <v>80</v>
      </c>
      <c r="B170" t="s">
        <v>39</v>
      </c>
      <c r="C170">
        <v>7.6</v>
      </c>
      <c r="D170" t="str">
        <f t="shared" si="2"/>
        <v>5-10 Years</v>
      </c>
      <c r="E170">
        <v>4314</v>
      </c>
      <c r="F170">
        <v>2.84</v>
      </c>
      <c r="G170">
        <v>13068</v>
      </c>
      <c r="H170">
        <v>98432</v>
      </c>
      <c r="I170">
        <v>36494</v>
      </c>
      <c r="J170">
        <v>2013</v>
      </c>
    </row>
    <row r="171" spans="1:10" x14ac:dyDescent="0.35">
      <c r="A171" t="s">
        <v>80</v>
      </c>
      <c r="B171" t="s">
        <v>65</v>
      </c>
      <c r="C171">
        <v>5.9</v>
      </c>
      <c r="D171" t="str">
        <f t="shared" si="2"/>
        <v>5-10 Years</v>
      </c>
      <c r="E171">
        <v>10288</v>
      </c>
      <c r="F171">
        <v>5.09</v>
      </c>
      <c r="G171">
        <v>32175</v>
      </c>
      <c r="H171">
        <v>435830</v>
      </c>
      <c r="I171">
        <v>58039</v>
      </c>
      <c r="J171">
        <v>2013</v>
      </c>
    </row>
    <row r="172" spans="1:10" x14ac:dyDescent="0.35">
      <c r="A172" t="s">
        <v>80</v>
      </c>
      <c r="B172" t="s">
        <v>46</v>
      </c>
      <c r="C172">
        <v>6.2</v>
      </c>
      <c r="D172" t="str">
        <f t="shared" si="2"/>
        <v>5-10 Years</v>
      </c>
      <c r="E172">
        <v>47</v>
      </c>
      <c r="F172">
        <v>5.0199999999999996</v>
      </c>
      <c r="G172">
        <v>7</v>
      </c>
      <c r="H172">
        <v>353</v>
      </c>
      <c r="I172">
        <v>467</v>
      </c>
      <c r="J172">
        <v>2013</v>
      </c>
    </row>
    <row r="173" spans="1:10" x14ac:dyDescent="0.35">
      <c r="A173" t="s">
        <v>80</v>
      </c>
      <c r="B173" t="s">
        <v>44</v>
      </c>
      <c r="C173">
        <v>6.3</v>
      </c>
      <c r="D173" t="str">
        <f t="shared" si="2"/>
        <v>5-10 Years</v>
      </c>
      <c r="E173">
        <v>1036</v>
      </c>
      <c r="F173">
        <v>3.07</v>
      </c>
      <c r="G173">
        <v>2023</v>
      </c>
      <c r="H173">
        <v>15352</v>
      </c>
      <c r="I173">
        <v>5293</v>
      </c>
      <c r="J173">
        <v>2013</v>
      </c>
    </row>
    <row r="174" spans="1:10" x14ac:dyDescent="0.35">
      <c r="A174" t="s">
        <v>80</v>
      </c>
      <c r="B174" t="s">
        <v>19</v>
      </c>
      <c r="C174">
        <v>5.0999999999999996</v>
      </c>
      <c r="D174" t="str">
        <f t="shared" si="2"/>
        <v>5-10 Years</v>
      </c>
      <c r="E174">
        <v>3676</v>
      </c>
      <c r="F174">
        <v>4.33</v>
      </c>
      <c r="G174">
        <v>18068</v>
      </c>
      <c r="H174">
        <v>192169</v>
      </c>
      <c r="I174">
        <v>23982</v>
      </c>
      <c r="J174">
        <v>2013</v>
      </c>
    </row>
    <row r="175" spans="1:10" x14ac:dyDescent="0.35">
      <c r="A175" t="s">
        <v>80</v>
      </c>
      <c r="B175" t="s">
        <v>55</v>
      </c>
      <c r="C175">
        <v>4.5</v>
      </c>
      <c r="D175" t="str">
        <f t="shared" si="2"/>
        <v>&lt;5 Years</v>
      </c>
      <c r="E175">
        <v>1225</v>
      </c>
      <c r="F175">
        <v>4.66</v>
      </c>
      <c r="G175">
        <v>351</v>
      </c>
      <c r="H175">
        <v>1377</v>
      </c>
      <c r="I175">
        <v>7804</v>
      </c>
      <c r="J175">
        <v>2013</v>
      </c>
    </row>
    <row r="176" spans="1:10" x14ac:dyDescent="0.35">
      <c r="A176" t="s">
        <v>80</v>
      </c>
      <c r="B176" t="s">
        <v>58</v>
      </c>
      <c r="C176">
        <v>7</v>
      </c>
      <c r="D176" t="str">
        <f t="shared" si="2"/>
        <v>5-10 Years</v>
      </c>
      <c r="E176">
        <v>1212</v>
      </c>
      <c r="F176">
        <v>4.5</v>
      </c>
      <c r="G176">
        <v>725</v>
      </c>
      <c r="H176">
        <v>1263</v>
      </c>
      <c r="I176">
        <v>2500</v>
      </c>
      <c r="J176">
        <v>2013</v>
      </c>
    </row>
    <row r="177" spans="1:10" x14ac:dyDescent="0.35">
      <c r="A177" t="s">
        <v>80</v>
      </c>
      <c r="B177" t="s">
        <v>60</v>
      </c>
      <c r="C177">
        <v>6.7</v>
      </c>
      <c r="D177" t="str">
        <f t="shared" si="2"/>
        <v>5-10 Years</v>
      </c>
      <c r="E177">
        <v>97</v>
      </c>
      <c r="F177">
        <v>3.3</v>
      </c>
      <c r="G177">
        <v>13</v>
      </c>
      <c r="H177">
        <v>375</v>
      </c>
      <c r="I177">
        <v>774</v>
      </c>
      <c r="J177">
        <v>2013</v>
      </c>
    </row>
    <row r="178" spans="1:10" x14ac:dyDescent="0.35">
      <c r="A178" t="s">
        <v>80</v>
      </c>
      <c r="B178" t="s">
        <v>16</v>
      </c>
      <c r="C178">
        <v>5.6</v>
      </c>
      <c r="D178" t="str">
        <f t="shared" si="2"/>
        <v>5-10 Years</v>
      </c>
      <c r="E178">
        <v>213</v>
      </c>
      <c r="F178">
        <v>3.78</v>
      </c>
      <c r="G178">
        <v>15</v>
      </c>
      <c r="H178">
        <v>1232</v>
      </c>
      <c r="I178">
        <v>1050</v>
      </c>
      <c r="J178">
        <v>2013</v>
      </c>
    </row>
    <row r="179" spans="1:10" x14ac:dyDescent="0.35">
      <c r="A179" t="s">
        <v>80</v>
      </c>
      <c r="B179" t="s">
        <v>59</v>
      </c>
      <c r="C179">
        <v>7</v>
      </c>
      <c r="D179" t="str">
        <f t="shared" si="2"/>
        <v>5-10 Years</v>
      </c>
      <c r="E179">
        <v>439</v>
      </c>
      <c r="F179">
        <v>4.5</v>
      </c>
      <c r="G179">
        <v>227</v>
      </c>
      <c r="H179">
        <v>329</v>
      </c>
      <c r="I179">
        <v>4720</v>
      </c>
      <c r="J179">
        <v>2013</v>
      </c>
    </row>
    <row r="180" spans="1:10" x14ac:dyDescent="0.35">
      <c r="A180" t="s">
        <v>80</v>
      </c>
      <c r="B180" t="s">
        <v>26</v>
      </c>
      <c r="C180">
        <v>4.5</v>
      </c>
      <c r="D180" t="str">
        <f t="shared" si="2"/>
        <v>&lt;5 Years</v>
      </c>
      <c r="E180">
        <v>547</v>
      </c>
      <c r="F180">
        <v>4.34</v>
      </c>
      <c r="G180">
        <v>317</v>
      </c>
      <c r="H180">
        <v>8663</v>
      </c>
      <c r="I180">
        <v>2013</v>
      </c>
      <c r="J180">
        <v>2013</v>
      </c>
    </row>
    <row r="181" spans="1:10" x14ac:dyDescent="0.35">
      <c r="A181" t="s">
        <v>84</v>
      </c>
      <c r="B181" t="s">
        <v>26</v>
      </c>
      <c r="C181">
        <v>4.96</v>
      </c>
      <c r="D181" t="str">
        <f t="shared" si="2"/>
        <v>&lt;5 Years</v>
      </c>
      <c r="E181">
        <v>540</v>
      </c>
      <c r="F181">
        <v>4.3499999999999996</v>
      </c>
      <c r="G181">
        <v>344</v>
      </c>
      <c r="H181">
        <v>9468</v>
      </c>
      <c r="I181">
        <v>2054</v>
      </c>
      <c r="J181">
        <v>2014</v>
      </c>
    </row>
    <row r="182" spans="1:10" x14ac:dyDescent="0.35">
      <c r="A182" t="s">
        <v>84</v>
      </c>
      <c r="B182" t="s">
        <v>43</v>
      </c>
      <c r="C182">
        <v>5.68</v>
      </c>
      <c r="D182" t="str">
        <f t="shared" si="2"/>
        <v>5-10 Years</v>
      </c>
      <c r="E182">
        <v>12079</v>
      </c>
      <c r="F182">
        <v>5.23</v>
      </c>
      <c r="G182">
        <v>23192</v>
      </c>
      <c r="H182">
        <v>548032.27</v>
      </c>
      <c r="I182">
        <v>61806</v>
      </c>
      <c r="J182">
        <v>2014</v>
      </c>
    </row>
    <row r="183" spans="1:10" x14ac:dyDescent="0.35">
      <c r="A183" t="s">
        <v>84</v>
      </c>
      <c r="B183" t="s">
        <v>40</v>
      </c>
      <c r="C183">
        <v>3.53</v>
      </c>
      <c r="D183" t="str">
        <f t="shared" si="2"/>
        <v>&lt;5 Years</v>
      </c>
      <c r="E183">
        <v>815</v>
      </c>
      <c r="F183">
        <v>3.65</v>
      </c>
      <c r="G183">
        <v>149</v>
      </c>
      <c r="H183">
        <v>7065</v>
      </c>
      <c r="I183">
        <v>3148</v>
      </c>
      <c r="J183">
        <v>2014</v>
      </c>
    </row>
    <row r="184" spans="1:10" x14ac:dyDescent="0.35">
      <c r="A184" t="s">
        <v>84</v>
      </c>
      <c r="B184" t="s">
        <v>37</v>
      </c>
      <c r="C184">
        <v>5.97</v>
      </c>
      <c r="D184" t="str">
        <f t="shared" si="2"/>
        <v>5-10 Years</v>
      </c>
      <c r="E184">
        <v>6649</v>
      </c>
      <c r="F184">
        <v>3.79</v>
      </c>
      <c r="G184">
        <v>19367</v>
      </c>
      <c r="H184">
        <v>217254</v>
      </c>
      <c r="I184">
        <v>36474</v>
      </c>
      <c r="J184">
        <v>2014</v>
      </c>
    </row>
    <row r="185" spans="1:10" x14ac:dyDescent="0.35">
      <c r="A185" t="s">
        <v>84</v>
      </c>
      <c r="B185" t="s">
        <v>36</v>
      </c>
      <c r="C185">
        <v>11.85</v>
      </c>
      <c r="D185" t="str">
        <f t="shared" si="2"/>
        <v>&gt;10 Years</v>
      </c>
      <c r="E185">
        <v>223</v>
      </c>
      <c r="F185">
        <v>4.29</v>
      </c>
      <c r="G185">
        <v>25</v>
      </c>
      <c r="H185">
        <v>2673</v>
      </c>
      <c r="I185">
        <v>749</v>
      </c>
      <c r="J185">
        <v>2014</v>
      </c>
    </row>
    <row r="186" spans="1:10" x14ac:dyDescent="0.35">
      <c r="A186" t="s">
        <v>84</v>
      </c>
      <c r="B186" t="s">
        <v>35</v>
      </c>
      <c r="C186">
        <v>3.61</v>
      </c>
      <c r="D186" t="str">
        <f t="shared" si="2"/>
        <v>&lt;5 Years</v>
      </c>
      <c r="E186">
        <v>813</v>
      </c>
      <c r="F186">
        <v>2.11</v>
      </c>
      <c r="G186">
        <v>869</v>
      </c>
      <c r="H186">
        <v>7653</v>
      </c>
      <c r="I186">
        <v>4998</v>
      </c>
      <c r="J186">
        <v>2014</v>
      </c>
    </row>
    <row r="187" spans="1:10" x14ac:dyDescent="0.35">
      <c r="A187" t="s">
        <v>84</v>
      </c>
      <c r="B187" t="s">
        <v>32</v>
      </c>
      <c r="C187">
        <v>6.7</v>
      </c>
      <c r="D187" t="str">
        <f t="shared" si="2"/>
        <v>5-10 Years</v>
      </c>
      <c r="E187">
        <v>4977</v>
      </c>
      <c r="F187">
        <v>2.2999999999999998</v>
      </c>
      <c r="G187">
        <v>14187</v>
      </c>
      <c r="H187">
        <v>110187</v>
      </c>
      <c r="I187">
        <v>32864</v>
      </c>
      <c r="J187">
        <v>2014</v>
      </c>
    </row>
    <row r="188" spans="1:10" x14ac:dyDescent="0.35">
      <c r="A188" t="s">
        <v>84</v>
      </c>
      <c r="B188" t="s">
        <v>31</v>
      </c>
      <c r="C188">
        <v>4.83</v>
      </c>
      <c r="D188" t="str">
        <f t="shared" si="2"/>
        <v>&lt;5 Years</v>
      </c>
      <c r="E188">
        <v>7765</v>
      </c>
      <c r="F188">
        <v>5.48</v>
      </c>
      <c r="G188">
        <v>7735</v>
      </c>
      <c r="H188">
        <v>333368</v>
      </c>
      <c r="I188">
        <v>39257</v>
      </c>
      <c r="J188">
        <v>2014</v>
      </c>
    </row>
    <row r="189" spans="1:10" x14ac:dyDescent="0.35">
      <c r="A189" t="s">
        <v>84</v>
      </c>
      <c r="B189" t="s">
        <v>27</v>
      </c>
      <c r="C189">
        <v>10.41</v>
      </c>
      <c r="D189" t="str">
        <f t="shared" si="2"/>
        <v>&gt;10 Years</v>
      </c>
      <c r="E189">
        <v>610</v>
      </c>
      <c r="F189">
        <v>4.2300000000000004</v>
      </c>
      <c r="G189">
        <v>46</v>
      </c>
      <c r="H189">
        <v>179</v>
      </c>
      <c r="I189">
        <v>1720</v>
      </c>
      <c r="J189">
        <v>2014</v>
      </c>
    </row>
    <row r="190" spans="1:10" x14ac:dyDescent="0.35">
      <c r="A190" t="s">
        <v>84</v>
      </c>
      <c r="B190" t="s">
        <v>69</v>
      </c>
      <c r="C190">
        <v>4.2300000000000004</v>
      </c>
      <c r="D190" t="str">
        <f t="shared" si="2"/>
        <v>&lt;5 Years</v>
      </c>
      <c r="E190">
        <v>8321</v>
      </c>
      <c r="F190">
        <v>4.82</v>
      </c>
      <c r="G190">
        <v>10349</v>
      </c>
      <c r="H190">
        <v>354490</v>
      </c>
      <c r="I190">
        <v>37326</v>
      </c>
      <c r="J190">
        <v>2014</v>
      </c>
    </row>
    <row r="191" spans="1:10" x14ac:dyDescent="0.35">
      <c r="A191" t="s">
        <v>84</v>
      </c>
      <c r="B191" t="s">
        <v>23</v>
      </c>
      <c r="C191">
        <v>6.97</v>
      </c>
      <c r="D191" t="str">
        <f t="shared" si="2"/>
        <v>5-10 Years</v>
      </c>
      <c r="E191">
        <v>5691</v>
      </c>
      <c r="F191">
        <v>4.1900000000000004</v>
      </c>
      <c r="G191">
        <v>11059</v>
      </c>
      <c r="H191">
        <v>5537</v>
      </c>
      <c r="I191">
        <v>40812</v>
      </c>
      <c r="J191">
        <v>2014</v>
      </c>
    </row>
    <row r="192" spans="1:10" x14ac:dyDescent="0.35">
      <c r="A192" t="s">
        <v>84</v>
      </c>
      <c r="B192" t="s">
        <v>22</v>
      </c>
      <c r="C192">
        <v>4.58</v>
      </c>
      <c r="D192" t="str">
        <f t="shared" si="2"/>
        <v>&lt;5 Years</v>
      </c>
      <c r="E192">
        <v>17957</v>
      </c>
      <c r="F192">
        <v>4.76</v>
      </c>
      <c r="G192">
        <v>24557</v>
      </c>
      <c r="H192">
        <v>649286</v>
      </c>
      <c r="I192">
        <v>107500</v>
      </c>
      <c r="J192">
        <v>2014</v>
      </c>
    </row>
    <row r="193" spans="1:10" x14ac:dyDescent="0.35">
      <c r="A193" t="s">
        <v>84</v>
      </c>
      <c r="B193" t="s">
        <v>20</v>
      </c>
      <c r="C193">
        <v>5.62</v>
      </c>
      <c r="D193" t="str">
        <f t="shared" si="2"/>
        <v>5-10 Years</v>
      </c>
      <c r="E193">
        <v>63</v>
      </c>
      <c r="F193">
        <v>4.45</v>
      </c>
      <c r="G193">
        <v>4</v>
      </c>
      <c r="H193">
        <v>399</v>
      </c>
      <c r="I193">
        <v>286</v>
      </c>
      <c r="J193">
        <v>2014</v>
      </c>
    </row>
    <row r="194" spans="1:10" x14ac:dyDescent="0.35">
      <c r="A194" t="s">
        <v>84</v>
      </c>
      <c r="B194" t="s">
        <v>52</v>
      </c>
      <c r="C194">
        <v>6.15</v>
      </c>
      <c r="D194" t="str">
        <f t="shared" si="2"/>
        <v>5-10 Years</v>
      </c>
      <c r="E194">
        <v>661</v>
      </c>
      <c r="F194">
        <v>4.09</v>
      </c>
      <c r="G194">
        <v>764</v>
      </c>
      <c r="H194">
        <v>13800</v>
      </c>
      <c r="I194">
        <v>2370</v>
      </c>
      <c r="J194">
        <v>2014</v>
      </c>
    </row>
    <row r="195" spans="1:10" x14ac:dyDescent="0.35">
      <c r="A195" t="s">
        <v>84</v>
      </c>
      <c r="B195" t="s">
        <v>50</v>
      </c>
      <c r="C195">
        <v>5.68</v>
      </c>
      <c r="D195" t="str">
        <f t="shared" ref="D195:D258" si="3">IF(C195&lt;5,"&lt;5 Years",IF(C195&lt;=10,"5-10 Years","&gt;10 Years"))</f>
        <v>5-10 Years</v>
      </c>
      <c r="E195">
        <v>4320</v>
      </c>
      <c r="F195">
        <v>5.15</v>
      </c>
      <c r="G195">
        <v>4891</v>
      </c>
      <c r="H195">
        <v>153146</v>
      </c>
      <c r="I195">
        <v>18412</v>
      </c>
      <c r="J195">
        <v>2014</v>
      </c>
    </row>
    <row r="196" spans="1:10" x14ac:dyDescent="0.35">
      <c r="A196" t="s">
        <v>84</v>
      </c>
      <c r="B196" t="s">
        <v>49</v>
      </c>
      <c r="C196">
        <v>5.67</v>
      </c>
      <c r="D196" t="str">
        <f t="shared" si="3"/>
        <v>5-10 Years</v>
      </c>
      <c r="E196">
        <v>4738</v>
      </c>
      <c r="F196">
        <v>5.17</v>
      </c>
      <c r="G196">
        <v>8304</v>
      </c>
      <c r="H196">
        <v>179303</v>
      </c>
      <c r="I196">
        <v>23573</v>
      </c>
      <c r="J196">
        <v>2014</v>
      </c>
    </row>
    <row r="197" spans="1:10" x14ac:dyDescent="0.35">
      <c r="A197" t="s">
        <v>84</v>
      </c>
      <c r="B197" t="s">
        <v>48</v>
      </c>
      <c r="C197">
        <v>4.8899999999999997</v>
      </c>
      <c r="D197" t="str">
        <f t="shared" si="3"/>
        <v>&lt;5 Years</v>
      </c>
      <c r="E197">
        <v>446</v>
      </c>
      <c r="F197">
        <v>4.6900000000000004</v>
      </c>
      <c r="G197">
        <v>64</v>
      </c>
      <c r="H197">
        <v>19949</v>
      </c>
      <c r="I197">
        <v>606</v>
      </c>
      <c r="J197">
        <v>2014</v>
      </c>
    </row>
    <row r="198" spans="1:10" x14ac:dyDescent="0.35">
      <c r="A198" t="s">
        <v>84</v>
      </c>
      <c r="B198" t="s">
        <v>51</v>
      </c>
      <c r="C198">
        <v>4.18</v>
      </c>
      <c r="D198" t="str">
        <f t="shared" si="3"/>
        <v>&lt;5 Years</v>
      </c>
      <c r="E198">
        <v>4704</v>
      </c>
      <c r="F198">
        <v>5.01</v>
      </c>
      <c r="G198">
        <v>3582</v>
      </c>
      <c r="H198">
        <v>223386</v>
      </c>
      <c r="I198">
        <v>20551</v>
      </c>
      <c r="J198">
        <v>2014</v>
      </c>
    </row>
    <row r="199" spans="1:10" x14ac:dyDescent="0.35">
      <c r="A199" t="s">
        <v>84</v>
      </c>
      <c r="B199" t="s">
        <v>17</v>
      </c>
      <c r="C199">
        <v>5.0999999999999996</v>
      </c>
      <c r="D199" t="str">
        <f t="shared" si="3"/>
        <v>5-10 Years</v>
      </c>
      <c r="E199">
        <v>590</v>
      </c>
      <c r="F199">
        <v>4.12</v>
      </c>
      <c r="G199">
        <v>49</v>
      </c>
      <c r="H199">
        <v>11783</v>
      </c>
      <c r="I199">
        <v>2148</v>
      </c>
      <c r="J199">
        <v>2014</v>
      </c>
    </row>
    <row r="200" spans="1:10" x14ac:dyDescent="0.35">
      <c r="A200" t="s">
        <v>84</v>
      </c>
      <c r="B200" t="s">
        <v>65</v>
      </c>
      <c r="C200">
        <v>6.32</v>
      </c>
      <c r="D200" t="str">
        <f t="shared" si="3"/>
        <v>5-10 Years</v>
      </c>
      <c r="E200">
        <v>10329</v>
      </c>
      <c r="F200">
        <v>5.12</v>
      </c>
      <c r="G200">
        <v>33391</v>
      </c>
      <c r="H200">
        <v>436291</v>
      </c>
      <c r="I200">
        <v>56740</v>
      </c>
      <c r="J200">
        <v>2014</v>
      </c>
    </row>
    <row r="201" spans="1:10" x14ac:dyDescent="0.35">
      <c r="A201" t="s">
        <v>84</v>
      </c>
      <c r="B201" t="s">
        <v>46</v>
      </c>
      <c r="C201">
        <v>7</v>
      </c>
      <c r="D201" t="str">
        <f t="shared" si="3"/>
        <v>5-10 Years</v>
      </c>
      <c r="E201">
        <v>48</v>
      </c>
      <c r="F201">
        <v>5.0999999999999996</v>
      </c>
      <c r="G201">
        <v>2</v>
      </c>
      <c r="H201">
        <v>1</v>
      </c>
      <c r="I201">
        <v>396</v>
      </c>
      <c r="J201">
        <v>2014</v>
      </c>
    </row>
    <row r="202" spans="1:10" x14ac:dyDescent="0.35">
      <c r="A202" t="s">
        <v>84</v>
      </c>
      <c r="B202" t="s">
        <v>47</v>
      </c>
      <c r="C202">
        <v>4.38</v>
      </c>
      <c r="D202" t="str">
        <f t="shared" si="3"/>
        <v>&lt;5 Years</v>
      </c>
      <c r="E202">
        <v>9415</v>
      </c>
      <c r="F202">
        <v>5.18</v>
      </c>
      <c r="G202">
        <v>5440</v>
      </c>
      <c r="H202">
        <v>283054</v>
      </c>
      <c r="I202">
        <v>24913</v>
      </c>
      <c r="J202">
        <v>2014</v>
      </c>
    </row>
    <row r="203" spans="1:10" x14ac:dyDescent="0.35">
      <c r="A203" t="s">
        <v>84</v>
      </c>
      <c r="B203" t="s">
        <v>19</v>
      </c>
      <c r="C203">
        <v>5.98</v>
      </c>
      <c r="D203" t="str">
        <f t="shared" si="3"/>
        <v>5-10 Years</v>
      </c>
      <c r="E203">
        <v>3787</v>
      </c>
      <c r="F203">
        <v>4.3499999999999996</v>
      </c>
      <c r="G203">
        <v>18120</v>
      </c>
      <c r="H203">
        <v>189963</v>
      </c>
      <c r="I203">
        <v>25219</v>
      </c>
      <c r="J203">
        <v>2014</v>
      </c>
    </row>
    <row r="204" spans="1:10" x14ac:dyDescent="0.35">
      <c r="A204" t="s">
        <v>84</v>
      </c>
      <c r="B204" t="s">
        <v>58</v>
      </c>
      <c r="C204">
        <v>7</v>
      </c>
      <c r="D204" t="str">
        <f t="shared" si="3"/>
        <v>5-10 Years</v>
      </c>
      <c r="E204">
        <v>1242</v>
      </c>
      <c r="F204">
        <v>4.54</v>
      </c>
      <c r="G204">
        <v>919</v>
      </c>
      <c r="H204">
        <v>1327</v>
      </c>
      <c r="I204">
        <v>2837</v>
      </c>
      <c r="J204">
        <v>2014</v>
      </c>
    </row>
    <row r="205" spans="1:10" x14ac:dyDescent="0.35">
      <c r="A205" t="s">
        <v>84</v>
      </c>
      <c r="B205" t="s">
        <v>21</v>
      </c>
      <c r="C205">
        <v>4.08</v>
      </c>
      <c r="D205" t="str">
        <f t="shared" si="3"/>
        <v>&lt;5 Years</v>
      </c>
      <c r="E205">
        <v>1104</v>
      </c>
      <c r="F205">
        <v>5.16</v>
      </c>
      <c r="G205">
        <v>271</v>
      </c>
      <c r="H205">
        <v>77552</v>
      </c>
      <c r="I205">
        <v>6997</v>
      </c>
      <c r="J205">
        <v>2014</v>
      </c>
    </row>
    <row r="206" spans="1:10" x14ac:dyDescent="0.35">
      <c r="A206" t="s">
        <v>84</v>
      </c>
      <c r="B206" t="s">
        <v>25</v>
      </c>
      <c r="C206">
        <v>5.88</v>
      </c>
      <c r="D206" t="str">
        <f t="shared" si="3"/>
        <v>5-10 Years</v>
      </c>
      <c r="E206">
        <v>3184</v>
      </c>
      <c r="F206">
        <v>5.19</v>
      </c>
      <c r="G206">
        <v>9015</v>
      </c>
      <c r="H206">
        <v>228832</v>
      </c>
      <c r="I206">
        <v>18964</v>
      </c>
      <c r="J206">
        <v>2014</v>
      </c>
    </row>
    <row r="207" spans="1:10" x14ac:dyDescent="0.35">
      <c r="A207" t="s">
        <v>84</v>
      </c>
      <c r="B207" t="s">
        <v>29</v>
      </c>
      <c r="C207">
        <v>5.77</v>
      </c>
      <c r="D207" t="str">
        <f t="shared" si="3"/>
        <v>5-10 Years</v>
      </c>
      <c r="E207">
        <v>3783</v>
      </c>
      <c r="F207">
        <v>5.63</v>
      </c>
      <c r="G207">
        <v>14272</v>
      </c>
      <c r="H207">
        <v>333661</v>
      </c>
      <c r="I207">
        <v>23198</v>
      </c>
      <c r="J207">
        <v>2014</v>
      </c>
    </row>
    <row r="208" spans="1:10" x14ac:dyDescent="0.35">
      <c r="A208" t="s">
        <v>84</v>
      </c>
      <c r="B208" t="s">
        <v>34</v>
      </c>
      <c r="C208">
        <v>5.52</v>
      </c>
      <c r="D208" t="str">
        <f t="shared" si="3"/>
        <v>5-10 Years</v>
      </c>
      <c r="E208">
        <v>2516</v>
      </c>
      <c r="F208">
        <v>5.4</v>
      </c>
      <c r="G208">
        <v>6564</v>
      </c>
      <c r="H208">
        <v>187391</v>
      </c>
      <c r="I208">
        <v>14850</v>
      </c>
      <c r="J208">
        <v>2014</v>
      </c>
    </row>
    <row r="209" spans="1:10" x14ac:dyDescent="0.35">
      <c r="A209" t="s">
        <v>84</v>
      </c>
      <c r="B209" t="s">
        <v>38</v>
      </c>
      <c r="C209">
        <v>6.58</v>
      </c>
      <c r="D209" t="str">
        <f t="shared" si="3"/>
        <v>5-10 Years</v>
      </c>
      <c r="E209">
        <v>2230</v>
      </c>
      <c r="F209">
        <v>5.53</v>
      </c>
      <c r="G209">
        <v>5582</v>
      </c>
      <c r="H209">
        <v>153058</v>
      </c>
      <c r="I209">
        <v>7444</v>
      </c>
      <c r="J209">
        <v>2014</v>
      </c>
    </row>
    <row r="210" spans="1:10" x14ac:dyDescent="0.35">
      <c r="A210" t="s">
        <v>84</v>
      </c>
      <c r="B210" t="s">
        <v>42</v>
      </c>
      <c r="C210">
        <v>5.65</v>
      </c>
      <c r="D210" t="str">
        <f t="shared" si="3"/>
        <v>5-10 Years</v>
      </c>
      <c r="E210">
        <v>3528</v>
      </c>
      <c r="F210">
        <v>5.59</v>
      </c>
      <c r="G210">
        <v>8450</v>
      </c>
      <c r="H210">
        <v>293360</v>
      </c>
      <c r="I210">
        <v>22573</v>
      </c>
      <c r="J210">
        <v>2014</v>
      </c>
    </row>
    <row r="211" spans="1:10" x14ac:dyDescent="0.35">
      <c r="A211" t="s">
        <v>84</v>
      </c>
      <c r="B211" t="s">
        <v>41</v>
      </c>
      <c r="C211">
        <v>8.2100000000000009</v>
      </c>
      <c r="D211" t="str">
        <f t="shared" si="3"/>
        <v>5-10 Years</v>
      </c>
      <c r="E211">
        <v>266</v>
      </c>
      <c r="F211">
        <v>3.77</v>
      </c>
      <c r="G211">
        <v>101</v>
      </c>
      <c r="H211">
        <v>105</v>
      </c>
      <c r="I211">
        <v>858</v>
      </c>
      <c r="J211">
        <v>2014</v>
      </c>
    </row>
    <row r="212" spans="1:10" x14ac:dyDescent="0.35">
      <c r="A212" t="s">
        <v>84</v>
      </c>
      <c r="B212" t="s">
        <v>33</v>
      </c>
      <c r="C212">
        <v>6.35</v>
      </c>
      <c r="D212" t="str">
        <f t="shared" si="3"/>
        <v>5-10 Years</v>
      </c>
      <c r="E212">
        <v>432</v>
      </c>
      <c r="F212">
        <v>3.5</v>
      </c>
      <c r="G212">
        <v>478</v>
      </c>
      <c r="H212">
        <v>15441</v>
      </c>
      <c r="I212">
        <v>2102</v>
      </c>
      <c r="J212">
        <v>2014</v>
      </c>
    </row>
    <row r="213" spans="1:10" x14ac:dyDescent="0.35">
      <c r="A213" t="s">
        <v>84</v>
      </c>
      <c r="B213" t="s">
        <v>30</v>
      </c>
      <c r="C213">
        <v>3.36</v>
      </c>
      <c r="D213" t="str">
        <f t="shared" si="3"/>
        <v>&lt;5 Years</v>
      </c>
      <c r="E213">
        <v>4083</v>
      </c>
      <c r="F213">
        <v>4.75</v>
      </c>
      <c r="G213">
        <v>4683</v>
      </c>
      <c r="H213">
        <v>169225</v>
      </c>
      <c r="I213">
        <v>18259</v>
      </c>
      <c r="J213">
        <v>2014</v>
      </c>
    </row>
    <row r="214" spans="1:10" x14ac:dyDescent="0.35">
      <c r="A214" t="s">
        <v>84</v>
      </c>
      <c r="B214" t="s">
        <v>18</v>
      </c>
      <c r="C214">
        <v>6</v>
      </c>
      <c r="D214" t="str">
        <f t="shared" si="3"/>
        <v>5-10 Years</v>
      </c>
      <c r="E214">
        <v>33</v>
      </c>
      <c r="F214">
        <v>3.2</v>
      </c>
      <c r="G214">
        <v>0</v>
      </c>
      <c r="H214">
        <v>229</v>
      </c>
      <c r="I214">
        <v>418</v>
      </c>
      <c r="J214">
        <v>2014</v>
      </c>
    </row>
    <row r="215" spans="1:10" x14ac:dyDescent="0.35">
      <c r="A215" t="s">
        <v>84</v>
      </c>
      <c r="B215" t="s">
        <v>16</v>
      </c>
      <c r="C215">
        <v>5.9</v>
      </c>
      <c r="D215" t="str">
        <f t="shared" si="3"/>
        <v>5-10 Years</v>
      </c>
      <c r="E215">
        <v>193</v>
      </c>
      <c r="F215">
        <v>3.9</v>
      </c>
      <c r="G215">
        <v>16</v>
      </c>
      <c r="H215">
        <v>1388</v>
      </c>
      <c r="I215">
        <v>1050</v>
      </c>
      <c r="J215">
        <v>2014</v>
      </c>
    </row>
    <row r="216" spans="1:10" x14ac:dyDescent="0.35">
      <c r="A216" t="s">
        <v>84</v>
      </c>
      <c r="B216" t="s">
        <v>59</v>
      </c>
      <c r="C216">
        <v>7</v>
      </c>
      <c r="D216" t="str">
        <f t="shared" si="3"/>
        <v>5-10 Years</v>
      </c>
      <c r="E216">
        <v>376</v>
      </c>
      <c r="F216">
        <v>4.55</v>
      </c>
      <c r="G216">
        <v>104</v>
      </c>
      <c r="H216">
        <v>296</v>
      </c>
      <c r="I216">
        <v>4252</v>
      </c>
      <c r="J216">
        <v>2014</v>
      </c>
    </row>
    <row r="217" spans="1:10" x14ac:dyDescent="0.35">
      <c r="A217" t="s">
        <v>84</v>
      </c>
      <c r="B217" t="s">
        <v>60</v>
      </c>
      <c r="C217">
        <v>10</v>
      </c>
      <c r="D217" t="str">
        <f t="shared" si="3"/>
        <v>5-10 Years</v>
      </c>
      <c r="E217">
        <v>85</v>
      </c>
      <c r="F217">
        <v>3.3</v>
      </c>
      <c r="G217">
        <v>13</v>
      </c>
      <c r="H217">
        <v>460</v>
      </c>
      <c r="I217">
        <v>774</v>
      </c>
      <c r="J217">
        <v>2014</v>
      </c>
    </row>
    <row r="218" spans="1:10" x14ac:dyDescent="0.35">
      <c r="A218" t="s">
        <v>84</v>
      </c>
      <c r="B218" t="s">
        <v>44</v>
      </c>
      <c r="C218">
        <v>4.9800000000000004</v>
      </c>
      <c r="D218" t="str">
        <f t="shared" si="3"/>
        <v>&lt;5 Years</v>
      </c>
      <c r="E218">
        <v>946</v>
      </c>
      <c r="F218">
        <v>3.21</v>
      </c>
      <c r="G218">
        <v>2024</v>
      </c>
      <c r="H218">
        <v>15852</v>
      </c>
      <c r="I218">
        <v>5503</v>
      </c>
      <c r="J218">
        <v>2014</v>
      </c>
    </row>
    <row r="219" spans="1:10" x14ac:dyDescent="0.35">
      <c r="A219" t="s">
        <v>84</v>
      </c>
      <c r="B219" t="s">
        <v>39</v>
      </c>
      <c r="C219">
        <v>8.36</v>
      </c>
      <c r="D219" t="str">
        <f t="shared" si="3"/>
        <v>5-10 Years</v>
      </c>
      <c r="E219">
        <v>4247</v>
      </c>
      <c r="F219">
        <v>2.84</v>
      </c>
      <c r="G219">
        <v>12216</v>
      </c>
      <c r="H219">
        <v>90716</v>
      </c>
      <c r="I219">
        <v>35705</v>
      </c>
      <c r="J219">
        <v>2014</v>
      </c>
    </row>
    <row r="220" spans="1:10" x14ac:dyDescent="0.35">
      <c r="A220" t="s">
        <v>84</v>
      </c>
      <c r="B220" t="s">
        <v>14</v>
      </c>
      <c r="C220">
        <v>4.97</v>
      </c>
      <c r="D220" t="str">
        <f t="shared" si="3"/>
        <v>&lt;5 Years</v>
      </c>
      <c r="E220">
        <v>360</v>
      </c>
      <c r="F220">
        <v>3.13</v>
      </c>
      <c r="G220">
        <v>801</v>
      </c>
      <c r="H220">
        <v>246</v>
      </c>
      <c r="I220">
        <v>2491</v>
      </c>
      <c r="J220">
        <v>2014</v>
      </c>
    </row>
    <row r="221" spans="1:10" x14ac:dyDescent="0.35">
      <c r="A221" t="s">
        <v>84</v>
      </c>
      <c r="B221" t="s">
        <v>45</v>
      </c>
      <c r="C221">
        <v>8.0500000000000007</v>
      </c>
      <c r="D221" t="str">
        <f t="shared" si="3"/>
        <v>5-10 Years</v>
      </c>
      <c r="E221">
        <v>2087</v>
      </c>
      <c r="F221">
        <v>3.22</v>
      </c>
      <c r="G221">
        <v>4444</v>
      </c>
      <c r="H221">
        <v>49400</v>
      </c>
      <c r="I221">
        <v>10186</v>
      </c>
      <c r="J221">
        <v>2014</v>
      </c>
    </row>
    <row r="222" spans="1:10" x14ac:dyDescent="0.35">
      <c r="A222" t="s">
        <v>84</v>
      </c>
      <c r="B222" t="s">
        <v>61</v>
      </c>
      <c r="C222">
        <v>3.2</v>
      </c>
      <c r="D222" t="str">
        <f t="shared" si="3"/>
        <v>&lt;5 Years</v>
      </c>
      <c r="E222">
        <v>338</v>
      </c>
      <c r="F222">
        <v>2.8</v>
      </c>
      <c r="G222">
        <v>626</v>
      </c>
      <c r="H222">
        <v>4403</v>
      </c>
      <c r="I222">
        <v>2250</v>
      </c>
      <c r="J222">
        <v>2014</v>
      </c>
    </row>
    <row r="223" spans="1:10" x14ac:dyDescent="0.35">
      <c r="A223" t="s">
        <v>86</v>
      </c>
      <c r="B223" t="s">
        <v>18</v>
      </c>
      <c r="C223">
        <v>6.8</v>
      </c>
      <c r="D223" t="str">
        <f t="shared" si="3"/>
        <v>5-10 Years</v>
      </c>
      <c r="E223">
        <v>32</v>
      </c>
      <c r="F223">
        <v>3.01</v>
      </c>
      <c r="G223">
        <v>0.42</v>
      </c>
      <c r="H223">
        <v>154.57</v>
      </c>
      <c r="I223">
        <v>383</v>
      </c>
      <c r="J223">
        <v>2015</v>
      </c>
    </row>
    <row r="224" spans="1:10" x14ac:dyDescent="0.35">
      <c r="A224" t="s">
        <v>86</v>
      </c>
      <c r="B224" t="s">
        <v>42</v>
      </c>
      <c r="C224">
        <v>6.2</v>
      </c>
      <c r="D224" t="str">
        <f t="shared" si="3"/>
        <v>5-10 Years</v>
      </c>
      <c r="E224">
        <v>3590</v>
      </c>
      <c r="F224">
        <v>5.59</v>
      </c>
      <c r="G224">
        <v>8419.94</v>
      </c>
      <c r="H224">
        <v>298709.73</v>
      </c>
      <c r="I224">
        <v>22417</v>
      </c>
      <c r="J224">
        <v>2015</v>
      </c>
    </row>
    <row r="225" spans="1:10" x14ac:dyDescent="0.35">
      <c r="A225" t="s">
        <v>86</v>
      </c>
      <c r="B225" t="s">
        <v>59</v>
      </c>
      <c r="C225">
        <v>7</v>
      </c>
      <c r="D225" t="str">
        <f t="shared" si="3"/>
        <v>5-10 Years</v>
      </c>
      <c r="E225">
        <v>484</v>
      </c>
      <c r="F225">
        <v>4.5199999999999996</v>
      </c>
      <c r="G225">
        <v>351.36</v>
      </c>
      <c r="H225">
        <v>10947.06</v>
      </c>
      <c r="I225">
        <v>3834</v>
      </c>
      <c r="J225">
        <v>2015</v>
      </c>
    </row>
    <row r="226" spans="1:10" x14ac:dyDescent="0.35">
      <c r="A226" t="s">
        <v>86</v>
      </c>
      <c r="B226" t="s">
        <v>76</v>
      </c>
      <c r="C226">
        <v>6.12</v>
      </c>
      <c r="D226" t="str">
        <f t="shared" si="3"/>
        <v>5-10 Years</v>
      </c>
      <c r="E226">
        <v>1903</v>
      </c>
      <c r="F226">
        <v>5.18</v>
      </c>
      <c r="G226">
        <v>6673.7</v>
      </c>
      <c r="H226">
        <v>1408.37</v>
      </c>
      <c r="I226">
        <v>11920</v>
      </c>
      <c r="J226">
        <v>2015</v>
      </c>
    </row>
    <row r="227" spans="1:10" x14ac:dyDescent="0.35">
      <c r="A227" t="s">
        <v>86</v>
      </c>
      <c r="B227" t="s">
        <v>41</v>
      </c>
      <c r="C227">
        <v>7.32</v>
      </c>
      <c r="D227" t="str">
        <f t="shared" si="3"/>
        <v>5-10 Years</v>
      </c>
      <c r="E227">
        <v>268</v>
      </c>
      <c r="F227">
        <v>3.72</v>
      </c>
      <c r="G227">
        <v>115.09</v>
      </c>
      <c r="H227">
        <v>105.8</v>
      </c>
      <c r="I227">
        <v>858</v>
      </c>
      <c r="J227">
        <v>2015</v>
      </c>
    </row>
    <row r="228" spans="1:10" x14ac:dyDescent="0.35">
      <c r="A228" t="s">
        <v>86</v>
      </c>
      <c r="B228" t="s">
        <v>72</v>
      </c>
      <c r="C228">
        <v>7</v>
      </c>
      <c r="D228" t="str">
        <f t="shared" si="3"/>
        <v>5-10 Years</v>
      </c>
      <c r="E228">
        <v>143</v>
      </c>
      <c r="F228">
        <v>4.1399999999999997</v>
      </c>
      <c r="G228">
        <v>158.49</v>
      </c>
      <c r="H228">
        <v>131.99</v>
      </c>
      <c r="I228">
        <v>762</v>
      </c>
      <c r="J228">
        <v>2015</v>
      </c>
    </row>
    <row r="229" spans="1:10" x14ac:dyDescent="0.35">
      <c r="A229" t="s">
        <v>86</v>
      </c>
      <c r="B229" t="s">
        <v>19</v>
      </c>
      <c r="C229">
        <v>6.59</v>
      </c>
      <c r="D229" t="str">
        <f t="shared" si="3"/>
        <v>5-10 Years</v>
      </c>
      <c r="E229">
        <v>3832</v>
      </c>
      <c r="F229">
        <v>4.3600000000000003</v>
      </c>
      <c r="G229">
        <v>17814.63</v>
      </c>
      <c r="H229">
        <v>190868.11</v>
      </c>
      <c r="I229">
        <v>24930</v>
      </c>
      <c r="J229">
        <v>2015</v>
      </c>
    </row>
    <row r="230" spans="1:10" x14ac:dyDescent="0.35">
      <c r="A230" t="s">
        <v>86</v>
      </c>
      <c r="B230" t="s">
        <v>55</v>
      </c>
      <c r="C230">
        <v>6</v>
      </c>
      <c r="D230" t="str">
        <f t="shared" si="3"/>
        <v>5-10 Years</v>
      </c>
      <c r="E230">
        <v>1246</v>
      </c>
      <c r="F230">
        <v>4.63</v>
      </c>
      <c r="G230">
        <v>369.17</v>
      </c>
      <c r="H230">
        <v>1382</v>
      </c>
      <c r="I230">
        <v>4111</v>
      </c>
      <c r="J230">
        <v>2015</v>
      </c>
    </row>
    <row r="231" spans="1:10" x14ac:dyDescent="0.35">
      <c r="A231" t="s">
        <v>86</v>
      </c>
      <c r="B231" t="s">
        <v>58</v>
      </c>
      <c r="C231">
        <v>7</v>
      </c>
      <c r="D231" t="str">
        <f t="shared" si="3"/>
        <v>5-10 Years</v>
      </c>
      <c r="E231">
        <v>1258</v>
      </c>
      <c r="F231">
        <v>4.63</v>
      </c>
      <c r="G231">
        <v>1046.76</v>
      </c>
      <c r="H231">
        <v>36603.660000000003</v>
      </c>
      <c r="I231">
        <v>3500</v>
      </c>
      <c r="J231">
        <v>2015</v>
      </c>
    </row>
    <row r="232" spans="1:10" x14ac:dyDescent="0.35">
      <c r="A232" t="s">
        <v>86</v>
      </c>
      <c r="B232" t="s">
        <v>60</v>
      </c>
      <c r="C232">
        <v>8</v>
      </c>
      <c r="D232" t="str">
        <f t="shared" si="3"/>
        <v>5-10 Years</v>
      </c>
      <c r="E232">
        <v>126</v>
      </c>
      <c r="F232">
        <v>3.3</v>
      </c>
      <c r="G232">
        <v>14.06</v>
      </c>
      <c r="H232">
        <v>417.43</v>
      </c>
      <c r="I232">
        <v>723</v>
      </c>
      <c r="J232">
        <v>2015</v>
      </c>
    </row>
    <row r="233" spans="1:10" x14ac:dyDescent="0.35">
      <c r="A233" t="s">
        <v>86</v>
      </c>
      <c r="B233" t="s">
        <v>47</v>
      </c>
      <c r="C233">
        <v>5.19</v>
      </c>
      <c r="D233" t="str">
        <f t="shared" si="3"/>
        <v>5-10 Years</v>
      </c>
      <c r="E233">
        <v>9577</v>
      </c>
      <c r="F233">
        <v>5.23</v>
      </c>
      <c r="G233">
        <v>5560.1</v>
      </c>
      <c r="H233">
        <v>418644</v>
      </c>
      <c r="I233">
        <v>23028</v>
      </c>
      <c r="J233">
        <v>2015</v>
      </c>
    </row>
    <row r="234" spans="1:10" x14ac:dyDescent="0.35">
      <c r="A234" t="s">
        <v>86</v>
      </c>
      <c r="B234" t="s">
        <v>46</v>
      </c>
      <c r="C234">
        <v>8</v>
      </c>
      <c r="D234" t="str">
        <f t="shared" si="3"/>
        <v>5-10 Years</v>
      </c>
      <c r="E234">
        <v>47</v>
      </c>
      <c r="F234">
        <v>5.25</v>
      </c>
      <c r="G234">
        <v>2</v>
      </c>
      <c r="H234">
        <v>1</v>
      </c>
      <c r="I234">
        <v>353</v>
      </c>
      <c r="J234">
        <v>2015</v>
      </c>
    </row>
    <row r="235" spans="1:10" x14ac:dyDescent="0.35">
      <c r="A235" t="s">
        <v>86</v>
      </c>
      <c r="B235" t="s">
        <v>21</v>
      </c>
      <c r="C235">
        <v>4.0599999999999996</v>
      </c>
      <c r="D235" t="str">
        <f t="shared" si="3"/>
        <v>&lt;5 Years</v>
      </c>
      <c r="E235">
        <v>1169</v>
      </c>
      <c r="F235">
        <v>5.19</v>
      </c>
      <c r="G235">
        <v>2259.62</v>
      </c>
      <c r="H235">
        <v>78934.11</v>
      </c>
      <c r="I235">
        <v>6677</v>
      </c>
      <c r="J235">
        <v>2015</v>
      </c>
    </row>
    <row r="236" spans="1:10" x14ac:dyDescent="0.35">
      <c r="A236" t="s">
        <v>86</v>
      </c>
      <c r="B236" t="s">
        <v>44</v>
      </c>
      <c r="C236">
        <v>6.34</v>
      </c>
      <c r="D236" t="str">
        <f t="shared" si="3"/>
        <v>5-10 Years</v>
      </c>
      <c r="E236">
        <v>993</v>
      </c>
      <c r="F236">
        <v>3.26</v>
      </c>
      <c r="G236">
        <v>2274.9499999999998</v>
      </c>
      <c r="H236">
        <v>17902.189999999999</v>
      </c>
      <c r="I236">
        <v>5498</v>
      </c>
      <c r="J236">
        <v>2015</v>
      </c>
    </row>
    <row r="237" spans="1:10" x14ac:dyDescent="0.35">
      <c r="A237" t="s">
        <v>86</v>
      </c>
      <c r="B237" t="s">
        <v>65</v>
      </c>
      <c r="C237">
        <v>7.12</v>
      </c>
      <c r="D237" t="str">
        <f t="shared" si="3"/>
        <v>5-10 Years</v>
      </c>
      <c r="E237">
        <v>10391</v>
      </c>
      <c r="F237">
        <v>5.0999999999999996</v>
      </c>
      <c r="G237">
        <v>32935.94</v>
      </c>
      <c r="H237">
        <v>435517.99</v>
      </c>
      <c r="I237">
        <v>55993</v>
      </c>
      <c r="J237">
        <v>2015</v>
      </c>
    </row>
    <row r="238" spans="1:10" x14ac:dyDescent="0.35">
      <c r="A238" t="s">
        <v>86</v>
      </c>
      <c r="B238" t="s">
        <v>17</v>
      </c>
      <c r="C238">
        <v>5.37</v>
      </c>
      <c r="D238" t="str">
        <f t="shared" si="3"/>
        <v>5-10 Years</v>
      </c>
      <c r="E238">
        <v>662</v>
      </c>
      <c r="F238">
        <v>4.16</v>
      </c>
      <c r="G238">
        <v>165.58</v>
      </c>
      <c r="H238">
        <v>16585.41</v>
      </c>
      <c r="I238">
        <v>2127</v>
      </c>
      <c r="J238">
        <v>2015</v>
      </c>
    </row>
    <row r="239" spans="1:10" x14ac:dyDescent="0.35">
      <c r="A239" t="s">
        <v>86</v>
      </c>
      <c r="B239" t="s">
        <v>25</v>
      </c>
      <c r="C239">
        <v>6.1</v>
      </c>
      <c r="D239" t="str">
        <f t="shared" si="3"/>
        <v>5-10 Years</v>
      </c>
      <c r="E239">
        <v>3249</v>
      </c>
      <c r="F239">
        <v>5.16</v>
      </c>
      <c r="G239">
        <v>9322.91</v>
      </c>
      <c r="H239">
        <v>236590.85</v>
      </c>
      <c r="I239">
        <v>19647</v>
      </c>
      <c r="J239">
        <v>2015</v>
      </c>
    </row>
    <row r="240" spans="1:10" x14ac:dyDescent="0.35">
      <c r="A240" t="s">
        <v>86</v>
      </c>
      <c r="B240" t="s">
        <v>39</v>
      </c>
      <c r="C240">
        <v>9.1</v>
      </c>
      <c r="D240" t="str">
        <f t="shared" si="3"/>
        <v>5-10 Years</v>
      </c>
      <c r="E240">
        <v>4094</v>
      </c>
      <c r="F240">
        <v>2.84</v>
      </c>
      <c r="G240">
        <v>10610.84</v>
      </c>
      <c r="H240">
        <v>73489.929999999993</v>
      </c>
      <c r="I240">
        <v>34334</v>
      </c>
      <c r="J240">
        <v>2015</v>
      </c>
    </row>
    <row r="241" spans="1:10" x14ac:dyDescent="0.35">
      <c r="A241" t="s">
        <v>86</v>
      </c>
      <c r="B241" t="s">
        <v>51</v>
      </c>
      <c r="C241">
        <v>5.03</v>
      </c>
      <c r="D241" t="str">
        <f t="shared" si="3"/>
        <v>5-10 Years</v>
      </c>
      <c r="E241">
        <v>4529</v>
      </c>
      <c r="F241">
        <v>5</v>
      </c>
      <c r="G241">
        <v>3387.78</v>
      </c>
      <c r="H241">
        <v>289216.13</v>
      </c>
      <c r="I241">
        <v>19163</v>
      </c>
      <c r="J241">
        <v>2015</v>
      </c>
    </row>
    <row r="242" spans="1:10" x14ac:dyDescent="0.35">
      <c r="A242" t="s">
        <v>86</v>
      </c>
      <c r="B242" t="s">
        <v>57</v>
      </c>
      <c r="C242">
        <v>8</v>
      </c>
      <c r="D242" t="str">
        <f t="shared" si="3"/>
        <v>5-10 Years</v>
      </c>
      <c r="E242">
        <v>1025</v>
      </c>
      <c r="F242">
        <v>4.5199999999999996</v>
      </c>
      <c r="G242">
        <v>35.69</v>
      </c>
      <c r="H242">
        <v>1178.71</v>
      </c>
      <c r="I242">
        <v>3700</v>
      </c>
      <c r="J242">
        <v>2015</v>
      </c>
    </row>
    <row r="243" spans="1:10" x14ac:dyDescent="0.35">
      <c r="A243" t="s">
        <v>86</v>
      </c>
      <c r="B243" t="s">
        <v>16</v>
      </c>
      <c r="C243">
        <v>11.09</v>
      </c>
      <c r="D243" t="str">
        <f t="shared" si="3"/>
        <v>&gt;10 Years</v>
      </c>
      <c r="E243">
        <v>223</v>
      </c>
      <c r="F243">
        <v>3.75</v>
      </c>
      <c r="G243">
        <v>13</v>
      </c>
      <c r="H243">
        <v>1360</v>
      </c>
      <c r="I243">
        <v>1050</v>
      </c>
      <c r="J243">
        <v>2015</v>
      </c>
    </row>
    <row r="244" spans="1:10" x14ac:dyDescent="0.35">
      <c r="A244" t="s">
        <v>86</v>
      </c>
      <c r="B244" t="s">
        <v>71</v>
      </c>
      <c r="C244">
        <v>5.5</v>
      </c>
      <c r="D244" t="str">
        <f t="shared" si="3"/>
        <v>5-10 Years</v>
      </c>
      <c r="E244">
        <v>129</v>
      </c>
      <c r="F244">
        <v>3.91</v>
      </c>
      <c r="G244">
        <v>220.46</v>
      </c>
      <c r="H244">
        <v>2977.46</v>
      </c>
      <c r="I244">
        <v>974</v>
      </c>
      <c r="J244">
        <v>2015</v>
      </c>
    </row>
    <row r="245" spans="1:10" x14ac:dyDescent="0.35">
      <c r="A245" t="s">
        <v>86</v>
      </c>
      <c r="B245" t="s">
        <v>48</v>
      </c>
      <c r="C245">
        <v>6.3</v>
      </c>
      <c r="D245" t="str">
        <f t="shared" si="3"/>
        <v>5-10 Years</v>
      </c>
      <c r="E245">
        <v>458</v>
      </c>
      <c r="F245">
        <v>4.7</v>
      </c>
      <c r="G245">
        <v>69.64</v>
      </c>
      <c r="H245">
        <v>12042.04</v>
      </c>
      <c r="I245">
        <v>1599</v>
      </c>
      <c r="J245">
        <v>2015</v>
      </c>
    </row>
    <row r="246" spans="1:10" x14ac:dyDescent="0.35">
      <c r="A246" t="s">
        <v>86</v>
      </c>
      <c r="B246" t="s">
        <v>49</v>
      </c>
      <c r="C246">
        <v>6.29</v>
      </c>
      <c r="D246" t="str">
        <f t="shared" si="3"/>
        <v>5-10 Years</v>
      </c>
      <c r="E246">
        <v>4736</v>
      </c>
      <c r="F246">
        <v>5.18</v>
      </c>
      <c r="G246">
        <v>8289.9</v>
      </c>
      <c r="H246">
        <v>178564</v>
      </c>
      <c r="I246">
        <v>23586</v>
      </c>
      <c r="J246">
        <v>2015</v>
      </c>
    </row>
    <row r="247" spans="1:10" x14ac:dyDescent="0.35">
      <c r="A247" t="s">
        <v>86</v>
      </c>
      <c r="B247" t="s">
        <v>30</v>
      </c>
      <c r="C247">
        <v>4.07</v>
      </c>
      <c r="D247" t="str">
        <f t="shared" si="3"/>
        <v>&lt;5 Years</v>
      </c>
      <c r="E247">
        <v>4170</v>
      </c>
      <c r="F247">
        <v>4.74</v>
      </c>
      <c r="G247">
        <v>4554.46</v>
      </c>
      <c r="H247">
        <v>172764</v>
      </c>
      <c r="I247">
        <v>17646</v>
      </c>
      <c r="J247">
        <v>2015</v>
      </c>
    </row>
    <row r="248" spans="1:10" x14ac:dyDescent="0.35">
      <c r="A248" t="s">
        <v>86</v>
      </c>
      <c r="B248" t="s">
        <v>14</v>
      </c>
      <c r="C248">
        <v>4.47</v>
      </c>
      <c r="D248" t="str">
        <f t="shared" si="3"/>
        <v>&lt;5 Years</v>
      </c>
      <c r="E248">
        <v>375</v>
      </c>
      <c r="F248">
        <v>2.92</v>
      </c>
      <c r="G248">
        <v>844</v>
      </c>
      <c r="H248">
        <v>264.07</v>
      </c>
      <c r="I248">
        <v>2395</v>
      </c>
      <c r="J248">
        <v>2015</v>
      </c>
    </row>
    <row r="249" spans="1:10" x14ac:dyDescent="0.35">
      <c r="A249" t="s">
        <v>86</v>
      </c>
      <c r="B249" t="s">
        <v>50</v>
      </c>
      <c r="C249">
        <v>6.19</v>
      </c>
      <c r="D249" t="str">
        <f t="shared" si="3"/>
        <v>5-10 Years</v>
      </c>
      <c r="E249">
        <v>4447</v>
      </c>
      <c r="F249">
        <v>5.15</v>
      </c>
      <c r="G249">
        <v>4922.7</v>
      </c>
      <c r="H249">
        <v>158480.9</v>
      </c>
      <c r="I249">
        <v>20341</v>
      </c>
      <c r="J249">
        <v>2015</v>
      </c>
    </row>
    <row r="250" spans="1:10" x14ac:dyDescent="0.35">
      <c r="A250" t="s">
        <v>86</v>
      </c>
      <c r="B250" t="s">
        <v>29</v>
      </c>
      <c r="C250">
        <v>6.28</v>
      </c>
      <c r="D250" t="str">
        <f t="shared" si="3"/>
        <v>5-10 Years</v>
      </c>
      <c r="E250">
        <v>3820</v>
      </c>
      <c r="F250">
        <v>5.62</v>
      </c>
      <c r="G250">
        <v>10895.61</v>
      </c>
      <c r="H250">
        <v>280317.59999999998</v>
      </c>
      <c r="I250">
        <v>23613</v>
      </c>
      <c r="J250">
        <v>2015</v>
      </c>
    </row>
    <row r="251" spans="1:10" x14ac:dyDescent="0.35">
      <c r="A251" t="s">
        <v>86</v>
      </c>
      <c r="B251" t="s">
        <v>45</v>
      </c>
      <c r="C251">
        <v>8.18</v>
      </c>
      <c r="D251" t="str">
        <f t="shared" si="3"/>
        <v>5-10 Years</v>
      </c>
      <c r="E251">
        <v>2075</v>
      </c>
      <c r="F251">
        <v>3.26</v>
      </c>
      <c r="G251">
        <v>4115.04</v>
      </c>
      <c r="H251">
        <v>49498.25</v>
      </c>
      <c r="I251">
        <v>9945</v>
      </c>
      <c r="J251">
        <v>2015</v>
      </c>
    </row>
    <row r="252" spans="1:10" x14ac:dyDescent="0.35">
      <c r="A252" t="s">
        <v>86</v>
      </c>
      <c r="B252" t="s">
        <v>20</v>
      </c>
      <c r="C252">
        <v>6.78</v>
      </c>
      <c r="D252" t="str">
        <f t="shared" si="3"/>
        <v>5-10 Years</v>
      </c>
      <c r="E252">
        <v>59</v>
      </c>
      <c r="F252">
        <v>4.8</v>
      </c>
      <c r="G252">
        <v>3.69</v>
      </c>
      <c r="H252">
        <v>458.55</v>
      </c>
      <c r="I252">
        <v>270</v>
      </c>
      <c r="J252">
        <v>2015</v>
      </c>
    </row>
    <row r="253" spans="1:10" x14ac:dyDescent="0.35">
      <c r="A253" t="s">
        <v>86</v>
      </c>
      <c r="B253" t="s">
        <v>22</v>
      </c>
      <c r="C253">
        <v>4.83</v>
      </c>
      <c r="D253" t="str">
        <f t="shared" si="3"/>
        <v>&lt;5 Years</v>
      </c>
      <c r="E253">
        <v>18514</v>
      </c>
      <c r="F253">
        <v>4.76</v>
      </c>
      <c r="G253">
        <v>24561</v>
      </c>
      <c r="H253">
        <v>639210</v>
      </c>
      <c r="I253">
        <v>105679</v>
      </c>
      <c r="J253">
        <v>2015</v>
      </c>
    </row>
    <row r="254" spans="1:10" x14ac:dyDescent="0.35">
      <c r="A254" t="s">
        <v>86</v>
      </c>
      <c r="B254" t="s">
        <v>26</v>
      </c>
      <c r="C254">
        <v>5.49</v>
      </c>
      <c r="D254" t="str">
        <f t="shared" si="3"/>
        <v>5-10 Years</v>
      </c>
      <c r="E254">
        <v>569</v>
      </c>
      <c r="F254">
        <v>4.24</v>
      </c>
      <c r="G254">
        <v>356.18</v>
      </c>
      <c r="H254">
        <v>9798.65</v>
      </c>
      <c r="I254">
        <v>2003</v>
      </c>
      <c r="J254">
        <v>2015</v>
      </c>
    </row>
    <row r="255" spans="1:10" x14ac:dyDescent="0.35">
      <c r="A255" t="s">
        <v>86</v>
      </c>
      <c r="B255" t="s">
        <v>64</v>
      </c>
      <c r="C255">
        <v>4</v>
      </c>
      <c r="D255" t="str">
        <f t="shared" si="3"/>
        <v>&lt;5 Years</v>
      </c>
      <c r="E255">
        <v>180</v>
      </c>
      <c r="F255">
        <v>6</v>
      </c>
      <c r="G255">
        <v>263.45999999999998</v>
      </c>
      <c r="H255">
        <v>83.1</v>
      </c>
      <c r="I255">
        <v>986</v>
      </c>
      <c r="J255">
        <v>2015</v>
      </c>
    </row>
    <row r="256" spans="1:10" x14ac:dyDescent="0.35">
      <c r="A256" t="s">
        <v>86</v>
      </c>
      <c r="B256" t="s">
        <v>23</v>
      </c>
      <c r="C256">
        <v>6.39</v>
      </c>
      <c r="D256" t="str">
        <f t="shared" si="3"/>
        <v>5-10 Years</v>
      </c>
      <c r="E256">
        <v>5636</v>
      </c>
      <c r="F256">
        <v>4.16</v>
      </c>
      <c r="G256">
        <v>10438</v>
      </c>
      <c r="H256">
        <v>187593</v>
      </c>
      <c r="I256">
        <v>42240</v>
      </c>
      <c r="J256">
        <v>2015</v>
      </c>
    </row>
    <row r="257" spans="1:10" x14ac:dyDescent="0.35">
      <c r="A257" t="s">
        <v>86</v>
      </c>
      <c r="B257" t="s">
        <v>69</v>
      </c>
      <c r="C257">
        <v>4.9400000000000004</v>
      </c>
      <c r="D257" t="str">
        <f t="shared" si="3"/>
        <v>&lt;5 Years</v>
      </c>
      <c r="E257">
        <v>8172</v>
      </c>
      <c r="F257">
        <v>4.83</v>
      </c>
      <c r="G257">
        <v>10103.629999999999</v>
      </c>
      <c r="H257">
        <v>343937.34</v>
      </c>
      <c r="I257">
        <v>37129</v>
      </c>
      <c r="J257">
        <v>2015</v>
      </c>
    </row>
    <row r="258" spans="1:10" x14ac:dyDescent="0.35">
      <c r="A258" t="s">
        <v>86</v>
      </c>
      <c r="B258" t="s">
        <v>34</v>
      </c>
      <c r="C258">
        <v>5.76</v>
      </c>
      <c r="D258" t="str">
        <f t="shared" si="3"/>
        <v>5-10 Years</v>
      </c>
      <c r="E258">
        <v>2640</v>
      </c>
      <c r="F258">
        <v>5.38</v>
      </c>
      <c r="G258">
        <v>6406.78</v>
      </c>
      <c r="H258">
        <v>155207.25</v>
      </c>
      <c r="I258">
        <v>15266</v>
      </c>
      <c r="J258">
        <v>2015</v>
      </c>
    </row>
    <row r="259" spans="1:10" x14ac:dyDescent="0.35">
      <c r="A259" t="s">
        <v>86</v>
      </c>
      <c r="B259" t="s">
        <v>61</v>
      </c>
      <c r="C259">
        <v>4.2</v>
      </c>
      <c r="D259" t="str">
        <f t="shared" ref="D259:D322" si="4">IF(C259&lt;5,"&lt;5 Years",IF(C259&lt;=10,"5-10 Years","&gt;10 Years"))</f>
        <v>&lt;5 Years</v>
      </c>
      <c r="E259">
        <v>353</v>
      </c>
      <c r="F259">
        <v>2.78</v>
      </c>
      <c r="G259">
        <v>574.91999999999996</v>
      </c>
      <c r="H259">
        <v>4781.22</v>
      </c>
      <c r="I259">
        <v>2186</v>
      </c>
      <c r="J259">
        <v>2015</v>
      </c>
    </row>
    <row r="260" spans="1:10" x14ac:dyDescent="0.35">
      <c r="A260" t="s">
        <v>86</v>
      </c>
      <c r="B260" t="s">
        <v>27</v>
      </c>
      <c r="C260">
        <v>10</v>
      </c>
      <c r="D260" t="str">
        <f t="shared" si="4"/>
        <v>5-10 Years</v>
      </c>
      <c r="E260">
        <v>610</v>
      </c>
      <c r="F260">
        <v>4.34</v>
      </c>
      <c r="G260">
        <v>46.44</v>
      </c>
      <c r="H260">
        <v>4260.05</v>
      </c>
      <c r="I260">
        <v>1989</v>
      </c>
      <c r="J260">
        <v>2015</v>
      </c>
    </row>
    <row r="261" spans="1:10" x14ac:dyDescent="0.35">
      <c r="A261" t="s">
        <v>86</v>
      </c>
      <c r="B261" t="s">
        <v>33</v>
      </c>
      <c r="C261">
        <v>7.83</v>
      </c>
      <c r="D261" t="str">
        <f t="shared" si="4"/>
        <v>5-10 Years</v>
      </c>
      <c r="E261">
        <v>494</v>
      </c>
      <c r="F261">
        <v>3.71</v>
      </c>
      <c r="G261">
        <v>539.19000000000005</v>
      </c>
      <c r="H261">
        <v>11846</v>
      </c>
      <c r="I261">
        <v>1967</v>
      </c>
      <c r="J261">
        <v>2015</v>
      </c>
    </row>
    <row r="262" spans="1:10" x14ac:dyDescent="0.35">
      <c r="A262" t="s">
        <v>86</v>
      </c>
      <c r="B262" t="s">
        <v>79</v>
      </c>
      <c r="C262">
        <v>3.75</v>
      </c>
      <c r="D262" t="str">
        <f t="shared" si="4"/>
        <v>&lt;5 Years</v>
      </c>
      <c r="E262">
        <v>170</v>
      </c>
      <c r="F262">
        <v>2.85</v>
      </c>
      <c r="G262">
        <v>168.3</v>
      </c>
      <c r="H262">
        <v>15.08</v>
      </c>
      <c r="I262">
        <v>570</v>
      </c>
      <c r="J262">
        <v>2015</v>
      </c>
    </row>
    <row r="263" spans="1:10" x14ac:dyDescent="0.35">
      <c r="A263" t="s">
        <v>86</v>
      </c>
      <c r="B263" t="s">
        <v>31</v>
      </c>
      <c r="C263">
        <v>5.29</v>
      </c>
      <c r="D263" t="str">
        <f t="shared" si="4"/>
        <v>5-10 Years</v>
      </c>
      <c r="E263">
        <v>7852</v>
      </c>
      <c r="F263">
        <v>5.48</v>
      </c>
      <c r="G263">
        <v>7613.34</v>
      </c>
      <c r="H263">
        <v>326305.62</v>
      </c>
      <c r="I263">
        <v>39707</v>
      </c>
      <c r="J263">
        <v>2015</v>
      </c>
    </row>
    <row r="264" spans="1:10" x14ac:dyDescent="0.35">
      <c r="A264" t="s">
        <v>86</v>
      </c>
      <c r="B264" t="s">
        <v>32</v>
      </c>
      <c r="C264">
        <v>7.1</v>
      </c>
      <c r="D264" t="str">
        <f t="shared" si="4"/>
        <v>5-10 Years</v>
      </c>
      <c r="E264">
        <v>4564</v>
      </c>
      <c r="F264">
        <v>0</v>
      </c>
      <c r="G264">
        <v>12944.24</v>
      </c>
      <c r="H264">
        <v>105793.87</v>
      </c>
      <c r="I264">
        <v>30527</v>
      </c>
      <c r="J264">
        <v>2015</v>
      </c>
    </row>
    <row r="265" spans="1:10" x14ac:dyDescent="0.35">
      <c r="A265" t="s">
        <v>86</v>
      </c>
      <c r="B265" t="s">
        <v>35</v>
      </c>
      <c r="C265">
        <v>3.61</v>
      </c>
      <c r="D265" t="str">
        <f t="shared" si="4"/>
        <v>&lt;5 Years</v>
      </c>
      <c r="E265">
        <v>813</v>
      </c>
      <c r="F265">
        <v>2.11</v>
      </c>
      <c r="G265">
        <v>869.3</v>
      </c>
      <c r="H265">
        <v>7652.94</v>
      </c>
      <c r="I265">
        <v>4998</v>
      </c>
      <c r="J265">
        <v>2015</v>
      </c>
    </row>
    <row r="266" spans="1:10" x14ac:dyDescent="0.35">
      <c r="A266" t="s">
        <v>86</v>
      </c>
      <c r="B266" t="s">
        <v>36</v>
      </c>
      <c r="C266">
        <v>12.85</v>
      </c>
      <c r="D266" t="str">
        <f t="shared" si="4"/>
        <v>&gt;10 Years</v>
      </c>
      <c r="E266">
        <v>223</v>
      </c>
      <c r="F266">
        <v>4.2699999999999996</v>
      </c>
      <c r="G266">
        <v>26.55</v>
      </c>
      <c r="H266">
        <v>3146.03</v>
      </c>
      <c r="I266">
        <v>625</v>
      </c>
      <c r="J266">
        <v>2015</v>
      </c>
    </row>
    <row r="267" spans="1:10" x14ac:dyDescent="0.35">
      <c r="A267" t="s">
        <v>86</v>
      </c>
      <c r="B267" t="s">
        <v>73</v>
      </c>
      <c r="C267">
        <v>5.83</v>
      </c>
      <c r="D267" t="str">
        <f t="shared" si="4"/>
        <v>5-10 Years</v>
      </c>
      <c r="E267">
        <v>232</v>
      </c>
      <c r="F267">
        <v>2.5</v>
      </c>
      <c r="G267">
        <v>30.64</v>
      </c>
      <c r="H267">
        <v>74.09</v>
      </c>
      <c r="I267">
        <v>575</v>
      </c>
      <c r="J267">
        <v>2015</v>
      </c>
    </row>
    <row r="268" spans="1:10" x14ac:dyDescent="0.35">
      <c r="A268" t="s">
        <v>86</v>
      </c>
      <c r="B268" t="s">
        <v>37</v>
      </c>
      <c r="C268">
        <v>6.89</v>
      </c>
      <c r="D268" t="str">
        <f t="shared" si="4"/>
        <v>5-10 Years</v>
      </c>
      <c r="E268">
        <v>6439</v>
      </c>
      <c r="F268">
        <v>3.76</v>
      </c>
      <c r="G268">
        <v>18570.84</v>
      </c>
      <c r="H268">
        <v>192031.51</v>
      </c>
      <c r="I268">
        <v>35554</v>
      </c>
      <c r="J268">
        <v>2015</v>
      </c>
    </row>
    <row r="269" spans="1:10" x14ac:dyDescent="0.35">
      <c r="A269" t="s">
        <v>86</v>
      </c>
      <c r="B269" t="s">
        <v>75</v>
      </c>
      <c r="C269">
        <v>6</v>
      </c>
      <c r="D269" t="str">
        <f t="shared" si="4"/>
        <v>5-10 Years</v>
      </c>
      <c r="E269">
        <v>120</v>
      </c>
      <c r="F269">
        <v>4.0599999999999996</v>
      </c>
      <c r="G269">
        <v>108.06</v>
      </c>
      <c r="H269">
        <v>74.42</v>
      </c>
      <c r="I269">
        <v>38</v>
      </c>
      <c r="J269">
        <v>2015</v>
      </c>
    </row>
    <row r="270" spans="1:10" x14ac:dyDescent="0.35">
      <c r="A270" t="s">
        <v>86</v>
      </c>
      <c r="B270" t="s">
        <v>40</v>
      </c>
      <c r="C270">
        <v>4.4000000000000004</v>
      </c>
      <c r="D270" t="str">
        <f t="shared" si="4"/>
        <v>&lt;5 Years</v>
      </c>
      <c r="E270">
        <v>1090</v>
      </c>
      <c r="F270">
        <v>3.79</v>
      </c>
      <c r="G270">
        <v>207.95</v>
      </c>
      <c r="H270">
        <v>7437.69</v>
      </c>
      <c r="I270">
        <v>3987</v>
      </c>
      <c r="J270">
        <v>2015</v>
      </c>
    </row>
    <row r="271" spans="1:10" x14ac:dyDescent="0.35">
      <c r="A271" t="s">
        <v>86</v>
      </c>
      <c r="B271" t="s">
        <v>43</v>
      </c>
      <c r="C271">
        <v>7.73</v>
      </c>
      <c r="D271" t="str">
        <f t="shared" si="4"/>
        <v>5-10 Years</v>
      </c>
      <c r="E271">
        <v>12012</v>
      </c>
      <c r="F271">
        <v>5.19</v>
      </c>
      <c r="G271">
        <v>22977.48</v>
      </c>
      <c r="H271">
        <v>516978.85</v>
      </c>
      <c r="I271">
        <v>57902</v>
      </c>
      <c r="J271">
        <v>2015</v>
      </c>
    </row>
    <row r="272" spans="1:10" x14ac:dyDescent="0.35">
      <c r="A272" t="s">
        <v>86</v>
      </c>
      <c r="B272" t="s">
        <v>38</v>
      </c>
      <c r="C272">
        <v>6.78</v>
      </c>
      <c r="D272" t="str">
        <f t="shared" si="4"/>
        <v>5-10 Years</v>
      </c>
      <c r="E272">
        <v>2309</v>
      </c>
      <c r="F272">
        <v>5.55</v>
      </c>
      <c r="G272">
        <v>5533.12</v>
      </c>
      <c r="H272">
        <v>156566.93</v>
      </c>
      <c r="I272">
        <v>13760</v>
      </c>
      <c r="J272">
        <v>2015</v>
      </c>
    </row>
    <row r="273" spans="1:10" x14ac:dyDescent="0.35">
      <c r="A273" t="s">
        <v>86</v>
      </c>
      <c r="B273" t="s">
        <v>74</v>
      </c>
      <c r="C273">
        <v>6</v>
      </c>
      <c r="D273" t="str">
        <f t="shared" si="4"/>
        <v>5-10 Years</v>
      </c>
      <c r="E273">
        <v>270</v>
      </c>
      <c r="F273">
        <v>0</v>
      </c>
      <c r="G273">
        <v>41.6</v>
      </c>
      <c r="H273">
        <v>42.52</v>
      </c>
      <c r="I273">
        <v>277</v>
      </c>
      <c r="J273">
        <v>2015</v>
      </c>
    </row>
    <row r="274" spans="1:10" x14ac:dyDescent="0.35">
      <c r="A274" t="s">
        <v>88</v>
      </c>
      <c r="B274" t="s">
        <v>30</v>
      </c>
      <c r="C274">
        <v>4.37</v>
      </c>
      <c r="D274" t="str">
        <f t="shared" si="4"/>
        <v>&lt;5 Years</v>
      </c>
      <c r="E274">
        <v>4145</v>
      </c>
      <c r="F274">
        <v>4.75</v>
      </c>
      <c r="G274">
        <v>4459</v>
      </c>
      <c r="H274">
        <v>158216</v>
      </c>
      <c r="I274">
        <v>16968</v>
      </c>
      <c r="J274">
        <v>2016</v>
      </c>
    </row>
    <row r="275" spans="1:10" x14ac:dyDescent="0.35">
      <c r="A275" t="s">
        <v>88</v>
      </c>
      <c r="B275" t="s">
        <v>90</v>
      </c>
      <c r="C275">
        <v>8</v>
      </c>
      <c r="D275" t="str">
        <f t="shared" si="4"/>
        <v>5-10 Years</v>
      </c>
      <c r="E275">
        <v>230</v>
      </c>
      <c r="F275">
        <v>5.64</v>
      </c>
      <c r="G275">
        <v>90</v>
      </c>
      <c r="H275">
        <v>99.91</v>
      </c>
      <c r="I275">
        <v>540</v>
      </c>
      <c r="J275">
        <v>2016</v>
      </c>
    </row>
    <row r="276" spans="1:10" x14ac:dyDescent="0.35">
      <c r="A276" t="s">
        <v>88</v>
      </c>
      <c r="B276" t="s">
        <v>91</v>
      </c>
      <c r="C276">
        <v>5.1100000000000003</v>
      </c>
      <c r="D276" t="str">
        <f t="shared" si="4"/>
        <v>5-10 Years</v>
      </c>
      <c r="E276">
        <v>408</v>
      </c>
      <c r="F276">
        <v>2.97</v>
      </c>
      <c r="G276">
        <v>2</v>
      </c>
      <c r="H276">
        <v>193.9</v>
      </c>
      <c r="I276">
        <v>1119</v>
      </c>
      <c r="J276">
        <v>2016</v>
      </c>
    </row>
    <row r="277" spans="1:10" x14ac:dyDescent="0.35">
      <c r="A277" t="s">
        <v>88</v>
      </c>
      <c r="B277" t="s">
        <v>75</v>
      </c>
      <c r="C277">
        <v>7</v>
      </c>
      <c r="D277" t="str">
        <f t="shared" si="4"/>
        <v>5-10 Years</v>
      </c>
      <c r="E277">
        <v>126</v>
      </c>
      <c r="F277">
        <v>4.5</v>
      </c>
      <c r="G277">
        <v>103</v>
      </c>
      <c r="H277">
        <v>75</v>
      </c>
      <c r="I277">
        <v>453</v>
      </c>
      <c r="J277">
        <v>2016</v>
      </c>
    </row>
    <row r="278" spans="1:10" x14ac:dyDescent="0.35">
      <c r="A278" t="s">
        <v>88</v>
      </c>
      <c r="B278" t="s">
        <v>43</v>
      </c>
      <c r="C278">
        <v>5.59</v>
      </c>
      <c r="D278" t="str">
        <f t="shared" si="4"/>
        <v>5-10 Years</v>
      </c>
      <c r="E278">
        <v>12072</v>
      </c>
      <c r="F278">
        <v>5.2</v>
      </c>
      <c r="G278">
        <v>24017</v>
      </c>
      <c r="H278">
        <v>530698.23999999999</v>
      </c>
      <c r="I278">
        <v>56592</v>
      </c>
      <c r="J278">
        <v>2016</v>
      </c>
    </row>
    <row r="279" spans="1:10" x14ac:dyDescent="0.35">
      <c r="A279" t="s">
        <v>88</v>
      </c>
      <c r="B279" t="s">
        <v>40</v>
      </c>
      <c r="C279">
        <v>7</v>
      </c>
      <c r="D279" t="str">
        <f t="shared" si="4"/>
        <v>5-10 Years</v>
      </c>
      <c r="E279">
        <v>1067</v>
      </c>
      <c r="F279">
        <v>3.71</v>
      </c>
      <c r="G279">
        <v>174</v>
      </c>
      <c r="H279">
        <v>6564.13</v>
      </c>
      <c r="I279">
        <v>3579</v>
      </c>
      <c r="J279">
        <v>2016</v>
      </c>
    </row>
    <row r="280" spans="1:10" x14ac:dyDescent="0.35">
      <c r="A280" t="s">
        <v>88</v>
      </c>
      <c r="B280" t="s">
        <v>37</v>
      </c>
      <c r="C280">
        <v>7.64</v>
      </c>
      <c r="D280" t="str">
        <f t="shared" si="4"/>
        <v>5-10 Years</v>
      </c>
      <c r="E280">
        <v>6270</v>
      </c>
      <c r="F280">
        <v>3.74</v>
      </c>
      <c r="G280">
        <v>17611</v>
      </c>
      <c r="H280">
        <v>195775.79</v>
      </c>
      <c r="I280">
        <v>34306</v>
      </c>
      <c r="J280">
        <v>2016</v>
      </c>
    </row>
    <row r="281" spans="1:10" x14ac:dyDescent="0.35">
      <c r="A281" t="s">
        <v>88</v>
      </c>
      <c r="B281" t="s">
        <v>36</v>
      </c>
      <c r="C281">
        <v>13.85</v>
      </c>
      <c r="D281" t="str">
        <f t="shared" si="4"/>
        <v>&gt;10 Years</v>
      </c>
      <c r="E281">
        <v>483</v>
      </c>
      <c r="F281">
        <v>4.66</v>
      </c>
      <c r="G281">
        <v>111</v>
      </c>
      <c r="H281">
        <v>6463.32</v>
      </c>
      <c r="I281">
        <v>1244</v>
      </c>
      <c r="J281">
        <v>2016</v>
      </c>
    </row>
    <row r="282" spans="1:10" x14ac:dyDescent="0.35">
      <c r="A282" t="s">
        <v>88</v>
      </c>
      <c r="B282" t="s">
        <v>31</v>
      </c>
      <c r="C282">
        <v>4.74</v>
      </c>
      <c r="D282" t="str">
        <f t="shared" si="4"/>
        <v>&lt;5 Years</v>
      </c>
      <c r="E282">
        <v>7863</v>
      </c>
      <c r="F282">
        <v>5.42</v>
      </c>
      <c r="G282">
        <v>7887</v>
      </c>
      <c r="H282">
        <v>350277.81</v>
      </c>
      <c r="I282">
        <v>37688</v>
      </c>
      <c r="J282">
        <v>2016</v>
      </c>
    </row>
    <row r="283" spans="1:10" x14ac:dyDescent="0.35">
      <c r="A283" t="s">
        <v>88</v>
      </c>
      <c r="B283" t="s">
        <v>28</v>
      </c>
      <c r="C283">
        <v>4.96</v>
      </c>
      <c r="D283" t="str">
        <f t="shared" si="4"/>
        <v>&lt;5 Years</v>
      </c>
      <c r="E283">
        <v>3146</v>
      </c>
      <c r="F283">
        <v>3.7</v>
      </c>
      <c r="G283">
        <v>0</v>
      </c>
      <c r="H283">
        <v>64551.08</v>
      </c>
      <c r="I283">
        <v>9236</v>
      </c>
      <c r="J283">
        <v>2016</v>
      </c>
    </row>
    <row r="284" spans="1:10" x14ac:dyDescent="0.35">
      <c r="A284" t="s">
        <v>88</v>
      </c>
      <c r="B284" t="s">
        <v>27</v>
      </c>
      <c r="C284">
        <v>10</v>
      </c>
      <c r="D284" t="str">
        <f t="shared" si="4"/>
        <v>5-10 Years</v>
      </c>
      <c r="E284">
        <v>529</v>
      </c>
      <c r="F284">
        <v>4.33</v>
      </c>
      <c r="G284">
        <v>42</v>
      </c>
      <c r="H284">
        <v>4068.34</v>
      </c>
      <c r="I284">
        <v>2335</v>
      </c>
      <c r="J284">
        <v>2016</v>
      </c>
    </row>
    <row r="285" spans="1:10" x14ac:dyDescent="0.35">
      <c r="A285" t="s">
        <v>88</v>
      </c>
      <c r="B285" t="s">
        <v>24</v>
      </c>
      <c r="C285">
        <v>5.23</v>
      </c>
      <c r="D285" t="str">
        <f t="shared" si="4"/>
        <v>5-10 Years</v>
      </c>
      <c r="E285">
        <v>8212</v>
      </c>
      <c r="F285">
        <v>4.84</v>
      </c>
      <c r="G285">
        <v>9959</v>
      </c>
      <c r="H285">
        <v>338547.87</v>
      </c>
      <c r="I285">
        <v>37675</v>
      </c>
      <c r="J285">
        <v>2016</v>
      </c>
    </row>
    <row r="286" spans="1:10" x14ac:dyDescent="0.35">
      <c r="A286" t="s">
        <v>88</v>
      </c>
      <c r="B286" t="s">
        <v>23</v>
      </c>
      <c r="C286">
        <v>6.2</v>
      </c>
      <c r="D286" t="str">
        <f t="shared" si="4"/>
        <v>5-10 Years</v>
      </c>
      <c r="E286">
        <v>5869</v>
      </c>
      <c r="F286">
        <v>4.05</v>
      </c>
      <c r="G286">
        <v>10414</v>
      </c>
      <c r="H286">
        <v>294270</v>
      </c>
      <c r="I286">
        <v>43086</v>
      </c>
      <c r="J286">
        <v>2016</v>
      </c>
    </row>
    <row r="287" spans="1:10" x14ac:dyDescent="0.35">
      <c r="A287" t="s">
        <v>88</v>
      </c>
      <c r="B287" t="s">
        <v>22</v>
      </c>
      <c r="C287">
        <v>5.5</v>
      </c>
      <c r="D287" t="str">
        <f t="shared" si="4"/>
        <v>5-10 Years</v>
      </c>
      <c r="E287">
        <v>18710</v>
      </c>
      <c r="F287">
        <v>4.7699999999999996</v>
      </c>
      <c r="G287">
        <v>24438</v>
      </c>
      <c r="H287">
        <v>615701</v>
      </c>
      <c r="I287">
        <v>103043</v>
      </c>
      <c r="J287">
        <v>2016</v>
      </c>
    </row>
    <row r="288" spans="1:10" x14ac:dyDescent="0.35">
      <c r="A288" t="s">
        <v>88</v>
      </c>
      <c r="B288" t="s">
        <v>20</v>
      </c>
      <c r="C288">
        <v>7.21</v>
      </c>
      <c r="D288" t="str">
        <f t="shared" si="4"/>
        <v>5-10 Years</v>
      </c>
      <c r="E288">
        <v>52</v>
      </c>
      <c r="F288">
        <v>5.4</v>
      </c>
      <c r="G288">
        <v>4</v>
      </c>
      <c r="H288">
        <v>457.27</v>
      </c>
      <c r="I288">
        <v>260</v>
      </c>
      <c r="J288">
        <v>2016</v>
      </c>
    </row>
    <row r="289" spans="1:10" x14ac:dyDescent="0.35">
      <c r="A289" t="s">
        <v>88</v>
      </c>
      <c r="B289" t="s">
        <v>52</v>
      </c>
      <c r="C289">
        <v>6.29</v>
      </c>
      <c r="D289" t="str">
        <f t="shared" si="4"/>
        <v>5-10 Years</v>
      </c>
      <c r="E289">
        <v>805</v>
      </c>
      <c r="F289">
        <v>4.25</v>
      </c>
      <c r="G289">
        <v>0</v>
      </c>
      <c r="H289">
        <v>18655.12</v>
      </c>
      <c r="I289">
        <v>3709</v>
      </c>
      <c r="J289">
        <v>2016</v>
      </c>
    </row>
    <row r="290" spans="1:10" x14ac:dyDescent="0.35">
      <c r="A290" t="s">
        <v>88</v>
      </c>
      <c r="B290" t="s">
        <v>50</v>
      </c>
      <c r="C290">
        <v>5.64</v>
      </c>
      <c r="D290" t="str">
        <f t="shared" si="4"/>
        <v>5-10 Years</v>
      </c>
      <c r="E290">
        <v>4385</v>
      </c>
      <c r="F290">
        <v>5.17</v>
      </c>
      <c r="G290">
        <v>4928</v>
      </c>
      <c r="H290">
        <v>158522.46</v>
      </c>
      <c r="I290">
        <v>20577</v>
      </c>
      <c r="J290">
        <v>2016</v>
      </c>
    </row>
    <row r="291" spans="1:10" x14ac:dyDescent="0.35">
      <c r="A291" t="s">
        <v>88</v>
      </c>
      <c r="B291" t="s">
        <v>49</v>
      </c>
      <c r="C291">
        <v>6.6</v>
      </c>
      <c r="D291" t="str">
        <f t="shared" si="4"/>
        <v>5-10 Years</v>
      </c>
      <c r="E291">
        <v>4802</v>
      </c>
      <c r="F291">
        <v>5.18</v>
      </c>
      <c r="G291">
        <v>8256</v>
      </c>
      <c r="H291">
        <v>174741</v>
      </c>
      <c r="I291">
        <v>24321</v>
      </c>
      <c r="J291">
        <v>2016</v>
      </c>
    </row>
    <row r="292" spans="1:10" x14ac:dyDescent="0.35">
      <c r="A292" t="s">
        <v>88</v>
      </c>
      <c r="B292" t="s">
        <v>48</v>
      </c>
      <c r="C292">
        <v>9</v>
      </c>
      <c r="D292" t="str">
        <f t="shared" si="4"/>
        <v>5-10 Years</v>
      </c>
      <c r="E292">
        <v>455</v>
      </c>
      <c r="F292">
        <v>4.72</v>
      </c>
      <c r="G292">
        <v>71</v>
      </c>
      <c r="H292">
        <v>17663.88</v>
      </c>
      <c r="I292">
        <v>1651</v>
      </c>
      <c r="J292">
        <v>2016</v>
      </c>
    </row>
    <row r="293" spans="1:10" x14ac:dyDescent="0.35">
      <c r="A293" t="s">
        <v>88</v>
      </c>
      <c r="B293" t="s">
        <v>57</v>
      </c>
      <c r="C293">
        <v>8</v>
      </c>
      <c r="D293" t="str">
        <f t="shared" si="4"/>
        <v>5-10 Years</v>
      </c>
      <c r="E293">
        <v>1067</v>
      </c>
      <c r="F293">
        <v>4.6500000000000004</v>
      </c>
      <c r="G293">
        <v>0</v>
      </c>
      <c r="H293">
        <v>1300</v>
      </c>
      <c r="I293">
        <v>3658</v>
      </c>
      <c r="J293">
        <v>2016</v>
      </c>
    </row>
    <row r="294" spans="1:10" x14ac:dyDescent="0.35">
      <c r="A294" t="s">
        <v>88</v>
      </c>
      <c r="B294" t="s">
        <v>51</v>
      </c>
      <c r="C294">
        <v>5.26</v>
      </c>
      <c r="D294" t="str">
        <f t="shared" si="4"/>
        <v>5-10 Years</v>
      </c>
      <c r="E294">
        <v>4635</v>
      </c>
      <c r="F294">
        <v>5.0599999999999996</v>
      </c>
      <c r="G294">
        <v>3185</v>
      </c>
      <c r="H294">
        <v>284702.25</v>
      </c>
      <c r="I294">
        <v>17844</v>
      </c>
      <c r="J294">
        <v>2016</v>
      </c>
    </row>
    <row r="295" spans="1:10" x14ac:dyDescent="0.35">
      <c r="A295" t="s">
        <v>88</v>
      </c>
      <c r="B295" t="s">
        <v>17</v>
      </c>
      <c r="C295">
        <v>5.43</v>
      </c>
      <c r="D295" t="str">
        <f t="shared" si="4"/>
        <v>5-10 Years</v>
      </c>
      <c r="E295">
        <v>721</v>
      </c>
      <c r="F295">
        <v>4.29</v>
      </c>
      <c r="G295">
        <v>148</v>
      </c>
      <c r="H295">
        <v>18234.53</v>
      </c>
      <c r="I295">
        <v>2042</v>
      </c>
      <c r="J295">
        <v>2016</v>
      </c>
    </row>
    <row r="296" spans="1:10" x14ac:dyDescent="0.35">
      <c r="A296" t="s">
        <v>88</v>
      </c>
      <c r="B296" t="s">
        <v>47</v>
      </c>
      <c r="C296">
        <v>4.53</v>
      </c>
      <c r="D296" t="str">
        <f t="shared" si="4"/>
        <v>&lt;5 Years</v>
      </c>
      <c r="E296">
        <v>10780</v>
      </c>
      <c r="F296">
        <v>5.24</v>
      </c>
      <c r="G296">
        <v>5646</v>
      </c>
      <c r="H296">
        <v>445728</v>
      </c>
      <c r="I296">
        <v>23487</v>
      </c>
      <c r="J296">
        <v>2016</v>
      </c>
    </row>
    <row r="297" spans="1:10" x14ac:dyDescent="0.35">
      <c r="A297" t="s">
        <v>88</v>
      </c>
      <c r="B297" t="s">
        <v>55</v>
      </c>
      <c r="C297">
        <v>6.5</v>
      </c>
      <c r="D297" t="str">
        <f t="shared" si="4"/>
        <v>5-10 Years</v>
      </c>
      <c r="E297">
        <v>1242</v>
      </c>
      <c r="F297">
        <v>4.76</v>
      </c>
      <c r="G297">
        <v>368</v>
      </c>
      <c r="H297">
        <v>1396.65</v>
      </c>
      <c r="I297">
        <v>4506</v>
      </c>
      <c r="J297">
        <v>2016</v>
      </c>
    </row>
    <row r="298" spans="1:10" x14ac:dyDescent="0.35">
      <c r="A298" t="s">
        <v>88</v>
      </c>
      <c r="B298" t="s">
        <v>73</v>
      </c>
      <c r="C298">
        <v>5.77</v>
      </c>
      <c r="D298" t="str">
        <f t="shared" si="4"/>
        <v>5-10 Years</v>
      </c>
      <c r="E298">
        <v>831</v>
      </c>
      <c r="F298">
        <v>2.04</v>
      </c>
      <c r="G298">
        <v>986</v>
      </c>
      <c r="H298">
        <v>8272</v>
      </c>
      <c r="I298">
        <v>4647</v>
      </c>
      <c r="J298">
        <v>2016</v>
      </c>
    </row>
    <row r="299" spans="1:10" x14ac:dyDescent="0.35">
      <c r="A299" t="s">
        <v>88</v>
      </c>
      <c r="B299" t="s">
        <v>26</v>
      </c>
      <c r="C299">
        <v>5.16</v>
      </c>
      <c r="D299" t="str">
        <f t="shared" si="4"/>
        <v>5-10 Years</v>
      </c>
      <c r="E299">
        <v>530</v>
      </c>
      <c r="F299">
        <v>4.13</v>
      </c>
      <c r="G299">
        <v>342</v>
      </c>
      <c r="H299">
        <v>9386.34</v>
      </c>
      <c r="I299">
        <v>2023</v>
      </c>
      <c r="J299">
        <v>2016</v>
      </c>
    </row>
    <row r="300" spans="1:10" x14ac:dyDescent="0.35">
      <c r="A300" t="s">
        <v>88</v>
      </c>
      <c r="B300" t="s">
        <v>19</v>
      </c>
      <c r="C300">
        <v>7.08</v>
      </c>
      <c r="D300" t="str">
        <f t="shared" si="4"/>
        <v>5-10 Years</v>
      </c>
      <c r="E300">
        <v>4002</v>
      </c>
      <c r="F300">
        <v>4.5</v>
      </c>
      <c r="G300">
        <v>17184</v>
      </c>
      <c r="H300">
        <v>189176</v>
      </c>
      <c r="I300">
        <v>24326</v>
      </c>
      <c r="J300">
        <v>2016</v>
      </c>
    </row>
    <row r="301" spans="1:10" x14ac:dyDescent="0.35">
      <c r="A301" t="s">
        <v>88</v>
      </c>
      <c r="B301" t="s">
        <v>58</v>
      </c>
      <c r="C301">
        <v>7</v>
      </c>
      <c r="D301" t="str">
        <f t="shared" si="4"/>
        <v>5-10 Years</v>
      </c>
      <c r="E301">
        <v>1218</v>
      </c>
      <c r="F301">
        <v>4.54</v>
      </c>
      <c r="G301">
        <v>1500</v>
      </c>
      <c r="H301">
        <v>1361.45</v>
      </c>
      <c r="I301">
        <v>4108</v>
      </c>
      <c r="J301">
        <v>2016</v>
      </c>
    </row>
    <row r="302" spans="1:10" x14ac:dyDescent="0.35">
      <c r="A302" t="s">
        <v>88</v>
      </c>
      <c r="B302" t="s">
        <v>21</v>
      </c>
      <c r="C302">
        <v>5.03</v>
      </c>
      <c r="D302" t="str">
        <f t="shared" si="4"/>
        <v>5-10 Years</v>
      </c>
      <c r="E302">
        <v>1184</v>
      </c>
      <c r="F302">
        <v>5.24</v>
      </c>
      <c r="G302">
        <v>273</v>
      </c>
      <c r="H302">
        <v>81315.460000000006</v>
      </c>
      <c r="I302">
        <v>6349</v>
      </c>
      <c r="J302">
        <v>2016</v>
      </c>
    </row>
    <row r="303" spans="1:10" x14ac:dyDescent="0.35">
      <c r="A303" t="s">
        <v>88</v>
      </c>
      <c r="B303" t="s">
        <v>25</v>
      </c>
      <c r="C303">
        <v>6.88</v>
      </c>
      <c r="D303" t="str">
        <f t="shared" si="4"/>
        <v>5-10 Years</v>
      </c>
      <c r="E303">
        <v>3245</v>
      </c>
      <c r="F303">
        <v>5.18</v>
      </c>
      <c r="G303">
        <v>9021</v>
      </c>
      <c r="H303">
        <v>180075.85</v>
      </c>
      <c r="I303">
        <v>18948</v>
      </c>
      <c r="J303">
        <v>2016</v>
      </c>
    </row>
    <row r="304" spans="1:10" x14ac:dyDescent="0.35">
      <c r="A304" t="s">
        <v>88</v>
      </c>
      <c r="B304" t="s">
        <v>29</v>
      </c>
      <c r="C304">
        <v>7.01</v>
      </c>
      <c r="D304" t="str">
        <f t="shared" si="4"/>
        <v>5-10 Years</v>
      </c>
      <c r="E304">
        <v>3718</v>
      </c>
      <c r="F304">
        <v>5.68</v>
      </c>
      <c r="G304">
        <v>10488</v>
      </c>
      <c r="H304">
        <v>276075.90999999997</v>
      </c>
      <c r="I304">
        <v>23527</v>
      </c>
      <c r="J304">
        <v>2016</v>
      </c>
    </row>
    <row r="305" spans="1:10" x14ac:dyDescent="0.35">
      <c r="A305" t="s">
        <v>88</v>
      </c>
      <c r="B305" t="s">
        <v>34</v>
      </c>
      <c r="C305">
        <v>6.46</v>
      </c>
      <c r="D305" t="str">
        <f t="shared" si="4"/>
        <v>5-10 Years</v>
      </c>
      <c r="E305">
        <v>2593</v>
      </c>
      <c r="F305">
        <v>5.39</v>
      </c>
      <c r="G305">
        <v>6104</v>
      </c>
      <c r="H305">
        <v>189145.61</v>
      </c>
      <c r="I305">
        <v>15089</v>
      </c>
      <c r="J305">
        <v>2016</v>
      </c>
    </row>
    <row r="306" spans="1:10" x14ac:dyDescent="0.35">
      <c r="A306" t="s">
        <v>88</v>
      </c>
      <c r="B306" t="s">
        <v>38</v>
      </c>
      <c r="C306">
        <v>7.5</v>
      </c>
      <c r="D306" t="str">
        <f t="shared" si="4"/>
        <v>5-10 Years</v>
      </c>
      <c r="E306">
        <v>2222</v>
      </c>
      <c r="F306">
        <v>5.58</v>
      </c>
      <c r="G306">
        <v>5562</v>
      </c>
      <c r="H306">
        <v>177304.27</v>
      </c>
      <c r="I306">
        <v>13516</v>
      </c>
      <c r="J306">
        <v>2016</v>
      </c>
    </row>
    <row r="307" spans="1:10" x14ac:dyDescent="0.35">
      <c r="A307" t="s">
        <v>88</v>
      </c>
      <c r="B307" t="s">
        <v>42</v>
      </c>
      <c r="C307">
        <v>7</v>
      </c>
      <c r="D307" t="str">
        <f t="shared" si="4"/>
        <v>5-10 Years</v>
      </c>
      <c r="E307">
        <v>3596</v>
      </c>
      <c r="F307">
        <v>5.61</v>
      </c>
      <c r="G307">
        <v>7819</v>
      </c>
      <c r="H307">
        <v>299523</v>
      </c>
      <c r="I307">
        <v>24094</v>
      </c>
      <c r="J307">
        <v>2016</v>
      </c>
    </row>
    <row r="308" spans="1:10" x14ac:dyDescent="0.35">
      <c r="A308" t="s">
        <v>88</v>
      </c>
      <c r="B308" t="s">
        <v>76</v>
      </c>
      <c r="C308">
        <v>6.35</v>
      </c>
      <c r="D308" t="str">
        <f t="shared" si="4"/>
        <v>5-10 Years</v>
      </c>
      <c r="E308">
        <v>1897</v>
      </c>
      <c r="F308">
        <v>5.15</v>
      </c>
      <c r="G308">
        <v>6673</v>
      </c>
      <c r="H308">
        <v>140364.42000000001</v>
      </c>
      <c r="I308">
        <v>11839</v>
      </c>
      <c r="J308">
        <v>2016</v>
      </c>
    </row>
    <row r="309" spans="1:10" x14ac:dyDescent="0.35">
      <c r="A309" t="s">
        <v>88</v>
      </c>
      <c r="B309" t="s">
        <v>41</v>
      </c>
      <c r="C309">
        <v>7.48</v>
      </c>
      <c r="D309" t="str">
        <f t="shared" si="4"/>
        <v>5-10 Years</v>
      </c>
      <c r="E309">
        <v>268</v>
      </c>
      <c r="F309">
        <v>3.65</v>
      </c>
      <c r="G309">
        <v>108</v>
      </c>
      <c r="H309">
        <v>174.22</v>
      </c>
      <c r="I309">
        <v>1151</v>
      </c>
      <c r="J309">
        <v>2016</v>
      </c>
    </row>
    <row r="310" spans="1:10" x14ac:dyDescent="0.35">
      <c r="A310" t="s">
        <v>88</v>
      </c>
      <c r="B310" t="s">
        <v>33</v>
      </c>
      <c r="C310">
        <v>5.85</v>
      </c>
      <c r="D310" t="str">
        <f t="shared" si="4"/>
        <v>5-10 Years</v>
      </c>
      <c r="E310">
        <v>565</v>
      </c>
      <c r="F310">
        <v>3.76</v>
      </c>
      <c r="G310">
        <v>569</v>
      </c>
      <c r="H310">
        <v>14104.96</v>
      </c>
      <c r="I310">
        <v>1779</v>
      </c>
      <c r="J310">
        <v>2016</v>
      </c>
    </row>
    <row r="311" spans="1:10" x14ac:dyDescent="0.35">
      <c r="A311" t="s">
        <v>88</v>
      </c>
      <c r="B311" t="s">
        <v>16</v>
      </c>
      <c r="C311">
        <v>7.78</v>
      </c>
      <c r="D311" t="str">
        <f t="shared" si="4"/>
        <v>5-10 Years</v>
      </c>
      <c r="E311">
        <v>216</v>
      </c>
      <c r="F311">
        <v>3.3</v>
      </c>
      <c r="G311">
        <v>6</v>
      </c>
      <c r="H311">
        <v>32.450000000000003</v>
      </c>
      <c r="I311">
        <v>1050</v>
      </c>
      <c r="J311">
        <v>2016</v>
      </c>
    </row>
    <row r="312" spans="1:10" x14ac:dyDescent="0.35">
      <c r="A312" t="s">
        <v>88</v>
      </c>
      <c r="B312" t="s">
        <v>60</v>
      </c>
      <c r="C312">
        <v>6.38</v>
      </c>
      <c r="D312" t="str">
        <f t="shared" si="4"/>
        <v>5-10 Years</v>
      </c>
      <c r="E312">
        <v>122</v>
      </c>
      <c r="F312">
        <v>4.12</v>
      </c>
      <c r="G312">
        <v>11</v>
      </c>
      <c r="H312">
        <v>549.78</v>
      </c>
      <c r="I312">
        <v>680</v>
      </c>
      <c r="J312">
        <v>2016</v>
      </c>
    </row>
    <row r="313" spans="1:10" x14ac:dyDescent="0.35">
      <c r="A313" t="s">
        <v>88</v>
      </c>
      <c r="B313" t="s">
        <v>44</v>
      </c>
      <c r="C313">
        <v>5.3</v>
      </c>
      <c r="D313" t="str">
        <f t="shared" si="4"/>
        <v>5-10 Years</v>
      </c>
      <c r="E313">
        <v>910</v>
      </c>
      <c r="F313">
        <v>3.22</v>
      </c>
      <c r="G313">
        <v>2094</v>
      </c>
      <c r="H313">
        <v>16282.48</v>
      </c>
      <c r="I313">
        <v>5365</v>
      </c>
      <c r="J313">
        <v>2016</v>
      </c>
    </row>
    <row r="314" spans="1:10" x14ac:dyDescent="0.35">
      <c r="A314" t="s">
        <v>88</v>
      </c>
      <c r="B314" t="s">
        <v>39</v>
      </c>
      <c r="C314">
        <v>9.51</v>
      </c>
      <c r="D314" t="str">
        <f t="shared" si="4"/>
        <v>5-10 Years</v>
      </c>
      <c r="E314">
        <v>3844</v>
      </c>
      <c r="F314">
        <v>2.67</v>
      </c>
      <c r="G314">
        <v>10343</v>
      </c>
      <c r="H314">
        <v>70275</v>
      </c>
      <c r="I314">
        <v>32590</v>
      </c>
      <c r="J314">
        <v>2016</v>
      </c>
    </row>
    <row r="315" spans="1:10" x14ac:dyDescent="0.35">
      <c r="A315" t="s">
        <v>88</v>
      </c>
      <c r="B315" t="s">
        <v>71</v>
      </c>
      <c r="C315">
        <v>7.6</v>
      </c>
      <c r="D315" t="str">
        <f t="shared" si="4"/>
        <v>5-10 Years</v>
      </c>
      <c r="E315">
        <v>129</v>
      </c>
      <c r="F315">
        <v>3.98</v>
      </c>
      <c r="G315">
        <v>222</v>
      </c>
      <c r="H315">
        <v>2953.78</v>
      </c>
      <c r="I315">
        <v>944</v>
      </c>
      <c r="J315">
        <v>2016</v>
      </c>
    </row>
    <row r="316" spans="1:10" x14ac:dyDescent="0.35">
      <c r="A316" t="s">
        <v>88</v>
      </c>
      <c r="B316" t="s">
        <v>45</v>
      </c>
      <c r="C316">
        <v>9.02</v>
      </c>
      <c r="D316" t="str">
        <f t="shared" si="4"/>
        <v>5-10 Years</v>
      </c>
      <c r="E316">
        <v>2045</v>
      </c>
      <c r="F316">
        <v>3.14</v>
      </c>
      <c r="G316">
        <v>3939</v>
      </c>
      <c r="H316">
        <v>41496.51</v>
      </c>
      <c r="I316">
        <v>9656</v>
      </c>
      <c r="J316">
        <v>2016</v>
      </c>
    </row>
    <row r="317" spans="1:10" x14ac:dyDescent="0.35">
      <c r="A317" t="s">
        <v>88</v>
      </c>
      <c r="B317" t="s">
        <v>61</v>
      </c>
      <c r="C317">
        <v>7</v>
      </c>
      <c r="D317" t="str">
        <f t="shared" si="4"/>
        <v>5-10 Years</v>
      </c>
      <c r="E317">
        <v>393</v>
      </c>
      <c r="F317">
        <v>2.15</v>
      </c>
      <c r="G317">
        <v>470</v>
      </c>
      <c r="H317">
        <v>0</v>
      </c>
      <c r="I317">
        <v>2995</v>
      </c>
      <c r="J317">
        <v>2016</v>
      </c>
    </row>
    <row r="318" spans="1:10" x14ac:dyDescent="0.35">
      <c r="A318" t="s">
        <v>88</v>
      </c>
      <c r="B318" t="s">
        <v>79</v>
      </c>
      <c r="C318">
        <v>3.27</v>
      </c>
      <c r="D318" t="str">
        <f t="shared" si="4"/>
        <v>&lt;5 Years</v>
      </c>
      <c r="E318">
        <v>169</v>
      </c>
      <c r="F318">
        <v>3.34</v>
      </c>
      <c r="G318">
        <v>147</v>
      </c>
      <c r="H318">
        <v>1864.16</v>
      </c>
      <c r="I318">
        <v>560</v>
      </c>
      <c r="J318">
        <v>2016</v>
      </c>
    </row>
    <row r="319" spans="1:10" x14ac:dyDescent="0.35">
      <c r="A319" t="s">
        <v>94</v>
      </c>
      <c r="B319" t="s">
        <v>30</v>
      </c>
      <c r="C319">
        <v>4.75</v>
      </c>
      <c r="D319" t="str">
        <f t="shared" si="4"/>
        <v>&lt;5 Years</v>
      </c>
      <c r="E319">
        <v>4063</v>
      </c>
      <c r="F319">
        <v>4.74</v>
      </c>
      <c r="G319">
        <v>3993.74</v>
      </c>
      <c r="H319">
        <v>145915</v>
      </c>
      <c r="I319">
        <v>16004</v>
      </c>
      <c r="J319">
        <v>2017</v>
      </c>
    </row>
    <row r="320" spans="1:10" x14ac:dyDescent="0.35">
      <c r="A320" t="s">
        <v>94</v>
      </c>
      <c r="B320" t="s">
        <v>43</v>
      </c>
      <c r="C320">
        <v>5.56</v>
      </c>
      <c r="D320" t="str">
        <f t="shared" si="4"/>
        <v>5-10 Years</v>
      </c>
      <c r="E320">
        <v>11687</v>
      </c>
      <c r="F320">
        <v>5.23</v>
      </c>
      <c r="G320">
        <v>24236</v>
      </c>
      <c r="H320">
        <v>544387.26</v>
      </c>
      <c r="I320">
        <v>54349</v>
      </c>
      <c r="J320">
        <v>2017</v>
      </c>
    </row>
    <row r="321" spans="1:10" x14ac:dyDescent="0.35">
      <c r="A321" t="s">
        <v>94</v>
      </c>
      <c r="B321" t="s">
        <v>18</v>
      </c>
      <c r="C321">
        <v>7</v>
      </c>
      <c r="D321" t="str">
        <f t="shared" si="4"/>
        <v>5-10 Years</v>
      </c>
      <c r="E321">
        <v>42</v>
      </c>
      <c r="F321">
        <v>3.2</v>
      </c>
      <c r="G321">
        <v>0.52</v>
      </c>
      <c r="H321">
        <v>115.36</v>
      </c>
      <c r="I321">
        <v>287</v>
      </c>
      <c r="J321">
        <v>2017</v>
      </c>
    </row>
    <row r="322" spans="1:10" x14ac:dyDescent="0.35">
      <c r="A322" t="s">
        <v>94</v>
      </c>
      <c r="B322" t="s">
        <v>25</v>
      </c>
      <c r="C322">
        <v>7.21</v>
      </c>
      <c r="D322" t="str">
        <f t="shared" si="4"/>
        <v>5-10 Years</v>
      </c>
      <c r="E322">
        <v>3116</v>
      </c>
      <c r="F322">
        <v>5.12</v>
      </c>
      <c r="G322">
        <v>8844.35</v>
      </c>
      <c r="H322">
        <v>225081.87</v>
      </c>
      <c r="I322">
        <v>18597</v>
      </c>
      <c r="J322">
        <v>2017</v>
      </c>
    </row>
    <row r="323" spans="1:10" x14ac:dyDescent="0.35">
      <c r="A323" t="s">
        <v>94</v>
      </c>
      <c r="B323" t="s">
        <v>73</v>
      </c>
      <c r="C323">
        <v>3.73</v>
      </c>
      <c r="D323" t="str">
        <f t="shared" ref="D323:D386" si="5">IF(C323&lt;5,"&lt;5 Years",IF(C323&lt;=10,"5-10 Years","&gt;10 Years"))</f>
        <v>&lt;5 Years</v>
      </c>
      <c r="E323">
        <v>1153</v>
      </c>
      <c r="F323">
        <v>1.97</v>
      </c>
      <c r="G323">
        <v>947</v>
      </c>
      <c r="H323">
        <v>8249</v>
      </c>
      <c r="I323">
        <v>4361</v>
      </c>
      <c r="J323">
        <v>2017</v>
      </c>
    </row>
    <row r="324" spans="1:10" x14ac:dyDescent="0.35">
      <c r="A324" t="s">
        <v>94</v>
      </c>
      <c r="B324" t="s">
        <v>16</v>
      </c>
      <c r="C324">
        <v>7.78</v>
      </c>
      <c r="D324" t="str">
        <f t="shared" si="5"/>
        <v>5-10 Years</v>
      </c>
      <c r="E324">
        <v>249</v>
      </c>
      <c r="F324">
        <v>3.19</v>
      </c>
      <c r="G324">
        <v>4.7</v>
      </c>
      <c r="H324">
        <v>24.67</v>
      </c>
      <c r="I324">
        <v>1050</v>
      </c>
      <c r="J324">
        <v>2017</v>
      </c>
    </row>
    <row r="325" spans="1:10" x14ac:dyDescent="0.35">
      <c r="A325" t="s">
        <v>94</v>
      </c>
      <c r="B325" t="s">
        <v>91</v>
      </c>
      <c r="C325">
        <v>5.62</v>
      </c>
      <c r="D325" t="str">
        <f t="shared" si="5"/>
        <v>5-10 Years</v>
      </c>
      <c r="E325">
        <v>508</v>
      </c>
      <c r="F325">
        <v>2.82</v>
      </c>
      <c r="G325">
        <v>1.49</v>
      </c>
      <c r="H325">
        <v>161.77000000000001</v>
      </c>
      <c r="I325">
        <v>1119</v>
      </c>
      <c r="J325">
        <v>2017</v>
      </c>
    </row>
    <row r="326" spans="1:10" x14ac:dyDescent="0.35">
      <c r="A326" t="s">
        <v>94</v>
      </c>
      <c r="B326" t="s">
        <v>29</v>
      </c>
      <c r="C326">
        <v>7.86</v>
      </c>
      <c r="D326" t="str">
        <f t="shared" si="5"/>
        <v>5-10 Years</v>
      </c>
      <c r="E326">
        <v>3616</v>
      </c>
      <c r="F326">
        <v>5.69</v>
      </c>
      <c r="G326">
        <v>10179.26</v>
      </c>
      <c r="H326">
        <v>269524.36</v>
      </c>
      <c r="I326">
        <v>23099</v>
      </c>
      <c r="J326">
        <v>2017</v>
      </c>
    </row>
    <row r="327" spans="1:10" x14ac:dyDescent="0.35">
      <c r="A327" t="s">
        <v>94</v>
      </c>
      <c r="B327" t="s">
        <v>36</v>
      </c>
      <c r="C327">
        <v>14.85</v>
      </c>
      <c r="D327" t="str">
        <f t="shared" si="5"/>
        <v>&gt;10 Years</v>
      </c>
      <c r="E327">
        <v>579</v>
      </c>
      <c r="F327">
        <v>4.66</v>
      </c>
      <c r="G327">
        <v>162</v>
      </c>
      <c r="H327">
        <v>9875.77</v>
      </c>
      <c r="I327">
        <v>1170</v>
      </c>
      <c r="J327">
        <v>2017</v>
      </c>
    </row>
    <row r="328" spans="1:10" x14ac:dyDescent="0.35">
      <c r="A328" t="s">
        <v>94</v>
      </c>
      <c r="B328" t="s">
        <v>47</v>
      </c>
      <c r="C328">
        <v>5.43</v>
      </c>
      <c r="D328" t="str">
        <f t="shared" si="5"/>
        <v>5-10 Years</v>
      </c>
      <c r="E328">
        <v>12143</v>
      </c>
      <c r="F328">
        <v>5.25</v>
      </c>
      <c r="G328">
        <v>6257.93</v>
      </c>
      <c r="H328">
        <v>483664</v>
      </c>
      <c r="I328">
        <v>22633</v>
      </c>
      <c r="J328">
        <v>2017</v>
      </c>
    </row>
    <row r="329" spans="1:10" x14ac:dyDescent="0.35">
      <c r="A329" t="s">
        <v>94</v>
      </c>
      <c r="B329" t="s">
        <v>59</v>
      </c>
      <c r="C329">
        <v>7</v>
      </c>
      <c r="D329" t="str">
        <f t="shared" si="5"/>
        <v>5-10 Years</v>
      </c>
      <c r="E329">
        <v>602</v>
      </c>
      <c r="F329">
        <v>4.5199999999999996</v>
      </c>
      <c r="G329">
        <v>602.25</v>
      </c>
      <c r="H329">
        <v>350.4</v>
      </c>
      <c r="I329">
        <v>2940</v>
      </c>
      <c r="J329">
        <v>2017</v>
      </c>
    </row>
    <row r="330" spans="1:10" x14ac:dyDescent="0.35">
      <c r="A330" t="s">
        <v>94</v>
      </c>
      <c r="B330" t="s">
        <v>77</v>
      </c>
      <c r="C330">
        <v>0</v>
      </c>
      <c r="D330" t="str">
        <f t="shared" si="5"/>
        <v>&lt;5 Years</v>
      </c>
      <c r="E330">
        <v>1648</v>
      </c>
      <c r="F330">
        <v>0</v>
      </c>
      <c r="G330">
        <v>4250.79</v>
      </c>
      <c r="H330">
        <v>59179.47</v>
      </c>
      <c r="I330">
        <v>0</v>
      </c>
      <c r="J330">
        <v>2017</v>
      </c>
    </row>
    <row r="331" spans="1:10" x14ac:dyDescent="0.35">
      <c r="A331" t="s">
        <v>94</v>
      </c>
      <c r="B331" t="s">
        <v>34</v>
      </c>
      <c r="C331">
        <v>7.21</v>
      </c>
      <c r="D331" t="str">
        <f t="shared" si="5"/>
        <v>5-10 Years</v>
      </c>
      <c r="E331">
        <v>2477</v>
      </c>
      <c r="F331">
        <v>5.36</v>
      </c>
      <c r="G331">
        <v>6121.07</v>
      </c>
      <c r="H331">
        <v>183162.62</v>
      </c>
      <c r="I331">
        <v>14880</v>
      </c>
      <c r="J331">
        <v>2017</v>
      </c>
    </row>
    <row r="332" spans="1:10" x14ac:dyDescent="0.35">
      <c r="A332" t="s">
        <v>94</v>
      </c>
      <c r="B332" t="s">
        <v>31</v>
      </c>
      <c r="C332">
        <v>5.55</v>
      </c>
      <c r="D332" t="str">
        <f t="shared" si="5"/>
        <v>5-10 Years</v>
      </c>
      <c r="E332">
        <v>7345</v>
      </c>
      <c r="F332">
        <v>5.27</v>
      </c>
      <c r="G332">
        <v>7187.99</v>
      </c>
      <c r="H332">
        <v>358257.06</v>
      </c>
      <c r="I332">
        <v>39835</v>
      </c>
      <c r="J332">
        <v>2017</v>
      </c>
    </row>
    <row r="333" spans="1:10" x14ac:dyDescent="0.35">
      <c r="A333" t="s">
        <v>94</v>
      </c>
      <c r="B333" t="s">
        <v>26</v>
      </c>
      <c r="C333">
        <v>5.61</v>
      </c>
      <c r="D333" t="str">
        <f t="shared" si="5"/>
        <v>5-10 Years</v>
      </c>
      <c r="E333">
        <v>520</v>
      </c>
      <c r="F333">
        <v>4.0999999999999996</v>
      </c>
      <c r="G333">
        <v>354.01</v>
      </c>
      <c r="H333">
        <v>10620.32</v>
      </c>
      <c r="I333">
        <v>2077</v>
      </c>
      <c r="J333">
        <v>2017</v>
      </c>
    </row>
    <row r="334" spans="1:10" x14ac:dyDescent="0.35">
      <c r="A334" t="s">
        <v>94</v>
      </c>
      <c r="B334" t="s">
        <v>79</v>
      </c>
      <c r="C334">
        <v>3.95</v>
      </c>
      <c r="D334" t="str">
        <f t="shared" si="5"/>
        <v>&lt;5 Years</v>
      </c>
      <c r="E334">
        <v>216</v>
      </c>
      <c r="F334">
        <v>3.28</v>
      </c>
      <c r="G334">
        <v>145.63999999999999</v>
      </c>
      <c r="H334">
        <v>1703.11</v>
      </c>
      <c r="I334">
        <v>498</v>
      </c>
      <c r="J334">
        <v>2017</v>
      </c>
    </row>
    <row r="335" spans="1:10" x14ac:dyDescent="0.35">
      <c r="A335" t="s">
        <v>94</v>
      </c>
      <c r="B335" t="s">
        <v>28</v>
      </c>
      <c r="C335">
        <v>4.3499999999999996</v>
      </c>
      <c r="D335" t="str">
        <f t="shared" si="5"/>
        <v>&lt;5 Years</v>
      </c>
      <c r="E335">
        <v>3172</v>
      </c>
      <c r="F335">
        <v>3.71</v>
      </c>
      <c r="G335">
        <v>0</v>
      </c>
      <c r="H335">
        <v>68523.850000000006</v>
      </c>
      <c r="I335">
        <v>9781</v>
      </c>
      <c r="J335">
        <v>2017</v>
      </c>
    </row>
    <row r="336" spans="1:10" x14ac:dyDescent="0.35">
      <c r="A336" t="s">
        <v>94</v>
      </c>
      <c r="B336" t="s">
        <v>60</v>
      </c>
      <c r="C336">
        <v>7.81</v>
      </c>
      <c r="D336" t="str">
        <f t="shared" si="5"/>
        <v>5-10 Years</v>
      </c>
      <c r="E336">
        <v>122</v>
      </c>
      <c r="F336">
        <v>3.72</v>
      </c>
      <c r="G336">
        <v>11.31</v>
      </c>
      <c r="H336">
        <v>583</v>
      </c>
      <c r="I336">
        <v>798</v>
      </c>
      <c r="J336">
        <v>2017</v>
      </c>
    </row>
    <row r="337" spans="1:10" x14ac:dyDescent="0.35">
      <c r="A337" t="s">
        <v>94</v>
      </c>
      <c r="B337" t="s">
        <v>27</v>
      </c>
      <c r="C337">
        <v>10</v>
      </c>
      <c r="D337" t="str">
        <f t="shared" si="5"/>
        <v>5-10 Years</v>
      </c>
      <c r="E337">
        <v>525</v>
      </c>
      <c r="F337">
        <v>4.28</v>
      </c>
      <c r="G337">
        <v>43.94</v>
      </c>
      <c r="H337">
        <v>4232.3999999999996</v>
      </c>
      <c r="I337">
        <v>2244</v>
      </c>
      <c r="J337">
        <v>2017</v>
      </c>
    </row>
    <row r="338" spans="1:10" x14ac:dyDescent="0.35">
      <c r="A338" t="s">
        <v>94</v>
      </c>
      <c r="B338" t="s">
        <v>38</v>
      </c>
      <c r="C338">
        <v>8.35</v>
      </c>
      <c r="D338" t="str">
        <f t="shared" si="5"/>
        <v>5-10 Years</v>
      </c>
      <c r="E338">
        <v>2222</v>
      </c>
      <c r="F338">
        <v>5.64</v>
      </c>
      <c r="G338">
        <v>5559.65</v>
      </c>
      <c r="H338">
        <v>173191.32</v>
      </c>
      <c r="I338">
        <v>13348</v>
      </c>
      <c r="J338">
        <v>2017</v>
      </c>
    </row>
    <row r="339" spans="1:10" x14ac:dyDescent="0.35">
      <c r="A339" t="s">
        <v>94</v>
      </c>
      <c r="B339" t="s">
        <v>24</v>
      </c>
      <c r="C339">
        <v>4.71</v>
      </c>
      <c r="D339" t="str">
        <f t="shared" si="5"/>
        <v>&lt;5 Years</v>
      </c>
      <c r="E339">
        <v>8563</v>
      </c>
      <c r="F339">
        <v>4.84</v>
      </c>
      <c r="G339">
        <v>10833.98</v>
      </c>
      <c r="H339">
        <v>416388.9</v>
      </c>
      <c r="I339">
        <v>38449</v>
      </c>
      <c r="J339">
        <v>2017</v>
      </c>
    </row>
    <row r="340" spans="1:10" x14ac:dyDescent="0.35">
      <c r="A340" t="s">
        <v>94</v>
      </c>
      <c r="B340" t="s">
        <v>45</v>
      </c>
      <c r="C340">
        <v>8.07</v>
      </c>
      <c r="D340" t="str">
        <f t="shared" si="5"/>
        <v>5-10 Years</v>
      </c>
      <c r="E340">
        <v>1961</v>
      </c>
      <c r="F340">
        <v>3.1</v>
      </c>
      <c r="G340">
        <v>3975.61</v>
      </c>
      <c r="H340">
        <v>45186.54</v>
      </c>
      <c r="I340">
        <v>9311</v>
      </c>
      <c r="J340">
        <v>2017</v>
      </c>
    </row>
    <row r="341" spans="1:10" x14ac:dyDescent="0.35">
      <c r="A341" t="s">
        <v>94</v>
      </c>
      <c r="B341" t="s">
        <v>42</v>
      </c>
      <c r="C341">
        <v>7.77</v>
      </c>
      <c r="D341" t="str">
        <f t="shared" si="5"/>
        <v>5-10 Years</v>
      </c>
      <c r="E341">
        <v>3502</v>
      </c>
      <c r="F341">
        <v>5.61</v>
      </c>
      <c r="G341">
        <v>8858.07</v>
      </c>
      <c r="H341">
        <v>290099</v>
      </c>
      <c r="I341">
        <v>23361</v>
      </c>
      <c r="J341">
        <v>2017</v>
      </c>
    </row>
    <row r="342" spans="1:10" x14ac:dyDescent="0.35">
      <c r="A342" t="s">
        <v>94</v>
      </c>
      <c r="B342" t="s">
        <v>23</v>
      </c>
      <c r="C342">
        <v>6.32</v>
      </c>
      <c r="D342" t="str">
        <f t="shared" si="5"/>
        <v>5-10 Years</v>
      </c>
      <c r="E342">
        <v>5738</v>
      </c>
      <c r="F342">
        <v>4.08</v>
      </c>
      <c r="G342">
        <v>10593</v>
      </c>
      <c r="H342">
        <v>301791</v>
      </c>
      <c r="I342">
        <v>40060</v>
      </c>
      <c r="J342">
        <v>2017</v>
      </c>
    </row>
    <row r="343" spans="1:10" x14ac:dyDescent="0.35">
      <c r="A343" t="s">
        <v>94</v>
      </c>
      <c r="B343" t="s">
        <v>19</v>
      </c>
      <c r="C343">
        <v>7.96</v>
      </c>
      <c r="D343" t="str">
        <f t="shared" si="5"/>
        <v>5-10 Years</v>
      </c>
      <c r="E343">
        <v>3848</v>
      </c>
      <c r="F343">
        <v>4.5</v>
      </c>
      <c r="G343">
        <v>15186</v>
      </c>
      <c r="H343">
        <v>165039</v>
      </c>
      <c r="I343">
        <v>23688</v>
      </c>
      <c r="J343">
        <v>2017</v>
      </c>
    </row>
    <row r="344" spans="1:10" x14ac:dyDescent="0.35">
      <c r="A344" t="s">
        <v>94</v>
      </c>
      <c r="B344" t="s">
        <v>92</v>
      </c>
      <c r="C344">
        <v>5.5</v>
      </c>
      <c r="D344" t="str">
        <f t="shared" si="5"/>
        <v>5-10 Years</v>
      </c>
      <c r="E344">
        <v>254</v>
      </c>
      <c r="F344">
        <v>2.2999999999999998</v>
      </c>
      <c r="G344">
        <v>459.16</v>
      </c>
      <c r="H344">
        <v>158.24</v>
      </c>
      <c r="I344">
        <v>0</v>
      </c>
      <c r="J344">
        <v>2017</v>
      </c>
    </row>
    <row r="345" spans="1:10" x14ac:dyDescent="0.35">
      <c r="A345" t="s">
        <v>94</v>
      </c>
      <c r="B345" t="s">
        <v>22</v>
      </c>
      <c r="C345">
        <v>6.3</v>
      </c>
      <c r="D345" t="str">
        <f t="shared" si="5"/>
        <v>5-10 Years</v>
      </c>
      <c r="E345">
        <v>18652</v>
      </c>
      <c r="F345">
        <v>4.72</v>
      </c>
      <c r="G345">
        <v>24446.25</v>
      </c>
      <c r="H345">
        <v>624445</v>
      </c>
      <c r="I345">
        <v>101196</v>
      </c>
      <c r="J345">
        <v>2017</v>
      </c>
    </row>
    <row r="346" spans="1:10" x14ac:dyDescent="0.35">
      <c r="A346" t="s">
        <v>94</v>
      </c>
      <c r="B346" t="s">
        <v>76</v>
      </c>
      <c r="C346">
        <v>6.95</v>
      </c>
      <c r="D346" t="str">
        <f t="shared" si="5"/>
        <v>5-10 Years</v>
      </c>
      <c r="E346">
        <v>1839</v>
      </c>
      <c r="F346">
        <v>5.16</v>
      </c>
      <c r="G346">
        <v>6352.4</v>
      </c>
      <c r="H346">
        <v>138569.95000000001</v>
      </c>
      <c r="I346">
        <v>11620</v>
      </c>
      <c r="J346">
        <v>2017</v>
      </c>
    </row>
    <row r="347" spans="1:10" x14ac:dyDescent="0.35">
      <c r="A347" t="s">
        <v>94</v>
      </c>
      <c r="B347" t="s">
        <v>20</v>
      </c>
      <c r="C347">
        <v>7</v>
      </c>
      <c r="D347" t="str">
        <f t="shared" si="5"/>
        <v>5-10 Years</v>
      </c>
      <c r="E347">
        <v>61</v>
      </c>
      <c r="F347">
        <v>5.12</v>
      </c>
      <c r="G347">
        <v>2.17</v>
      </c>
      <c r="H347">
        <v>409.09</v>
      </c>
      <c r="I347">
        <v>251</v>
      </c>
      <c r="J347">
        <v>2017</v>
      </c>
    </row>
    <row r="348" spans="1:10" x14ac:dyDescent="0.35">
      <c r="A348" t="s">
        <v>94</v>
      </c>
      <c r="B348" t="s">
        <v>55</v>
      </c>
      <c r="C348">
        <v>6.5</v>
      </c>
      <c r="D348" t="str">
        <f t="shared" si="5"/>
        <v>5-10 Years</v>
      </c>
      <c r="E348">
        <v>1297</v>
      </c>
      <c r="F348">
        <v>4.8499999999999996</v>
      </c>
      <c r="G348">
        <v>405.54</v>
      </c>
      <c r="H348">
        <v>1552.42</v>
      </c>
      <c r="I348">
        <v>4339</v>
      </c>
      <c r="J348">
        <v>2017</v>
      </c>
    </row>
    <row r="349" spans="1:10" x14ac:dyDescent="0.35">
      <c r="A349" t="s">
        <v>94</v>
      </c>
      <c r="B349" t="s">
        <v>75</v>
      </c>
      <c r="C349">
        <v>8</v>
      </c>
      <c r="D349" t="str">
        <f t="shared" si="5"/>
        <v>5-10 Years</v>
      </c>
      <c r="E349">
        <v>126</v>
      </c>
      <c r="F349">
        <v>4.4000000000000004</v>
      </c>
      <c r="G349">
        <v>102</v>
      </c>
      <c r="H349">
        <v>73</v>
      </c>
      <c r="I349">
        <v>454</v>
      </c>
      <c r="J349">
        <v>2017</v>
      </c>
    </row>
    <row r="350" spans="1:10" x14ac:dyDescent="0.35">
      <c r="A350" t="s">
        <v>94</v>
      </c>
      <c r="B350" t="s">
        <v>52</v>
      </c>
      <c r="C350">
        <v>6.48</v>
      </c>
      <c r="D350" t="str">
        <f t="shared" si="5"/>
        <v>5-10 Years</v>
      </c>
      <c r="E350">
        <v>868</v>
      </c>
      <c r="F350">
        <v>4.13</v>
      </c>
      <c r="G350">
        <v>0</v>
      </c>
      <c r="H350">
        <v>19930.759999999998</v>
      </c>
      <c r="I350">
        <v>3226</v>
      </c>
      <c r="J350">
        <v>2017</v>
      </c>
    </row>
    <row r="351" spans="1:10" x14ac:dyDescent="0.35">
      <c r="A351" t="s">
        <v>94</v>
      </c>
      <c r="B351" t="s">
        <v>40</v>
      </c>
      <c r="C351">
        <v>4.37</v>
      </c>
      <c r="D351" t="str">
        <f t="shared" si="5"/>
        <v>&lt;5 Years</v>
      </c>
      <c r="E351">
        <v>1327</v>
      </c>
      <c r="F351">
        <v>3.7</v>
      </c>
      <c r="G351">
        <v>178.41</v>
      </c>
      <c r="H351">
        <v>7569.06</v>
      </c>
      <c r="I351">
        <v>3254</v>
      </c>
      <c r="J351">
        <v>2017</v>
      </c>
    </row>
    <row r="352" spans="1:10" x14ac:dyDescent="0.35">
      <c r="A352" t="s">
        <v>94</v>
      </c>
      <c r="B352" t="s">
        <v>50</v>
      </c>
      <c r="C352">
        <v>4.91</v>
      </c>
      <c r="D352" t="str">
        <f t="shared" si="5"/>
        <v>&lt;5 Years</v>
      </c>
      <c r="E352">
        <v>4501</v>
      </c>
      <c r="F352">
        <v>5.2</v>
      </c>
      <c r="G352">
        <v>4934.8</v>
      </c>
      <c r="H352">
        <v>169419.03</v>
      </c>
      <c r="I352">
        <v>20218</v>
      </c>
      <c r="J352">
        <v>2017</v>
      </c>
    </row>
    <row r="353" spans="1:10" x14ac:dyDescent="0.35">
      <c r="A353" t="s">
        <v>94</v>
      </c>
      <c r="B353" t="s">
        <v>41</v>
      </c>
      <c r="C353">
        <v>8.65</v>
      </c>
      <c r="D353" t="str">
        <f t="shared" si="5"/>
        <v>5-10 Years</v>
      </c>
      <c r="E353">
        <v>284</v>
      </c>
      <c r="F353">
        <v>3.57</v>
      </c>
      <c r="G353">
        <v>111.62</v>
      </c>
      <c r="H353">
        <v>192.63</v>
      </c>
      <c r="I353">
        <v>1162</v>
      </c>
      <c r="J353">
        <v>2017</v>
      </c>
    </row>
    <row r="354" spans="1:10" x14ac:dyDescent="0.35">
      <c r="A354" t="s">
        <v>94</v>
      </c>
      <c r="B354" t="s">
        <v>58</v>
      </c>
      <c r="C354">
        <v>7</v>
      </c>
      <c r="D354" t="str">
        <f t="shared" si="5"/>
        <v>5-10 Years</v>
      </c>
      <c r="E354">
        <v>1258</v>
      </c>
      <c r="F354">
        <v>4.62</v>
      </c>
      <c r="G354">
        <v>1551.25</v>
      </c>
      <c r="H354">
        <v>1481.9</v>
      </c>
      <c r="I354">
        <v>4098</v>
      </c>
      <c r="J354">
        <v>2017</v>
      </c>
    </row>
    <row r="355" spans="1:10" x14ac:dyDescent="0.35">
      <c r="A355" t="s">
        <v>94</v>
      </c>
      <c r="B355" t="s">
        <v>49</v>
      </c>
      <c r="C355">
        <v>6.59</v>
      </c>
      <c r="D355" t="str">
        <f t="shared" si="5"/>
        <v>5-10 Years</v>
      </c>
      <c r="E355">
        <v>4999</v>
      </c>
      <c r="F355">
        <v>5.16</v>
      </c>
      <c r="G355">
        <v>8212.5</v>
      </c>
      <c r="H355">
        <v>184318</v>
      </c>
      <c r="I355">
        <v>23707</v>
      </c>
      <c r="J355">
        <v>2017</v>
      </c>
    </row>
    <row r="356" spans="1:10" x14ac:dyDescent="0.35">
      <c r="A356" t="s">
        <v>94</v>
      </c>
      <c r="B356" t="s">
        <v>48</v>
      </c>
      <c r="C356">
        <v>4.82</v>
      </c>
      <c r="D356" t="str">
        <f t="shared" si="5"/>
        <v>&lt;5 Years</v>
      </c>
      <c r="E356">
        <v>443</v>
      </c>
      <c r="F356">
        <v>4.74</v>
      </c>
      <c r="G356">
        <v>70.89</v>
      </c>
      <c r="H356">
        <v>12154.49</v>
      </c>
      <c r="I356">
        <v>1582</v>
      </c>
      <c r="J356">
        <v>2017</v>
      </c>
    </row>
    <row r="357" spans="1:10" x14ac:dyDescent="0.35">
      <c r="A357" t="s">
        <v>94</v>
      </c>
      <c r="B357" t="s">
        <v>90</v>
      </c>
      <c r="C357">
        <v>9</v>
      </c>
      <c r="D357" t="str">
        <f t="shared" si="5"/>
        <v>5-10 Years</v>
      </c>
      <c r="E357">
        <v>230</v>
      </c>
      <c r="F357">
        <v>5.72</v>
      </c>
      <c r="G357">
        <v>93.95</v>
      </c>
      <c r="H357">
        <v>103.72</v>
      </c>
      <c r="I357">
        <v>567</v>
      </c>
      <c r="J357">
        <v>2017</v>
      </c>
    </row>
    <row r="358" spans="1:10" x14ac:dyDescent="0.35">
      <c r="A358" t="s">
        <v>94</v>
      </c>
      <c r="B358" t="s">
        <v>39</v>
      </c>
      <c r="C358">
        <v>9.7899999999999991</v>
      </c>
      <c r="D358" t="str">
        <f t="shared" si="5"/>
        <v>5-10 Years</v>
      </c>
      <c r="E358">
        <v>3661</v>
      </c>
      <c r="F358">
        <v>2.67</v>
      </c>
      <c r="G358">
        <v>9563</v>
      </c>
      <c r="H358">
        <v>63816</v>
      </c>
      <c r="I358">
        <v>30971</v>
      </c>
      <c r="J358">
        <v>2017</v>
      </c>
    </row>
    <row r="359" spans="1:10" x14ac:dyDescent="0.35">
      <c r="A359" t="s">
        <v>94</v>
      </c>
      <c r="B359" t="s">
        <v>57</v>
      </c>
      <c r="C359">
        <v>8</v>
      </c>
      <c r="D359" t="str">
        <f t="shared" si="5"/>
        <v>5-10 Years</v>
      </c>
      <c r="E359">
        <v>1142</v>
      </c>
      <c r="F359">
        <v>4.68</v>
      </c>
      <c r="G359">
        <v>0.28000000000000003</v>
      </c>
      <c r="H359">
        <v>1300</v>
      </c>
      <c r="I359">
        <v>4149</v>
      </c>
      <c r="J359">
        <v>2017</v>
      </c>
    </row>
    <row r="360" spans="1:10" x14ac:dyDescent="0.35">
      <c r="A360" t="s">
        <v>94</v>
      </c>
      <c r="B360" t="s">
        <v>21</v>
      </c>
      <c r="C360">
        <v>6.02</v>
      </c>
      <c r="D360" t="str">
        <f t="shared" si="5"/>
        <v>5-10 Years</v>
      </c>
      <c r="E360">
        <v>1167</v>
      </c>
      <c r="F360">
        <v>5.23</v>
      </c>
      <c r="G360">
        <v>265.22000000000003</v>
      </c>
      <c r="H360">
        <v>76844.09</v>
      </c>
      <c r="I360">
        <v>5910</v>
      </c>
      <c r="J360">
        <v>2017</v>
      </c>
    </row>
    <row r="361" spans="1:10" x14ac:dyDescent="0.35">
      <c r="A361" t="s">
        <v>94</v>
      </c>
      <c r="B361" t="s">
        <v>33</v>
      </c>
      <c r="C361">
        <v>5.08</v>
      </c>
      <c r="D361" t="str">
        <f t="shared" si="5"/>
        <v>5-10 Years</v>
      </c>
      <c r="E361">
        <v>550</v>
      </c>
      <c r="F361">
        <v>3.74</v>
      </c>
      <c r="G361">
        <v>568.1</v>
      </c>
      <c r="H361">
        <v>13414.4</v>
      </c>
      <c r="I361">
        <v>1917</v>
      </c>
      <c r="J361">
        <v>2017</v>
      </c>
    </row>
    <row r="362" spans="1:10" x14ac:dyDescent="0.35">
      <c r="A362" t="s">
        <v>94</v>
      </c>
      <c r="B362" t="s">
        <v>51</v>
      </c>
      <c r="C362">
        <v>5.43</v>
      </c>
      <c r="D362" t="str">
        <f t="shared" si="5"/>
        <v>5-10 Years</v>
      </c>
      <c r="E362">
        <v>5444</v>
      </c>
      <c r="F362">
        <v>5.0999999999999996</v>
      </c>
      <c r="G362">
        <v>3420.77</v>
      </c>
      <c r="H362">
        <v>303055.69</v>
      </c>
      <c r="I362">
        <v>16565</v>
      </c>
      <c r="J362">
        <v>2017</v>
      </c>
    </row>
    <row r="363" spans="1:10" x14ac:dyDescent="0.35">
      <c r="A363" t="s">
        <v>94</v>
      </c>
      <c r="B363" t="s">
        <v>71</v>
      </c>
      <c r="C363">
        <v>6.55</v>
      </c>
      <c r="D363" t="str">
        <f t="shared" si="5"/>
        <v>5-10 Years</v>
      </c>
      <c r="E363">
        <v>129</v>
      </c>
      <c r="F363">
        <v>3.8</v>
      </c>
      <c r="G363">
        <v>231.8</v>
      </c>
      <c r="H363">
        <v>3120.47</v>
      </c>
      <c r="I363">
        <v>881</v>
      </c>
      <c r="J363">
        <v>2017</v>
      </c>
    </row>
    <row r="364" spans="1:10" x14ac:dyDescent="0.35">
      <c r="A364" t="s">
        <v>94</v>
      </c>
      <c r="B364" t="s">
        <v>37</v>
      </c>
      <c r="C364">
        <v>6.28</v>
      </c>
      <c r="D364" t="str">
        <f t="shared" si="5"/>
        <v>5-10 Years</v>
      </c>
      <c r="E364">
        <v>6394</v>
      </c>
      <c r="F364">
        <v>3.74</v>
      </c>
      <c r="G364">
        <v>16425</v>
      </c>
      <c r="H364">
        <v>171896.55</v>
      </c>
      <c r="I364">
        <v>34114</v>
      </c>
      <c r="J364">
        <v>2017</v>
      </c>
    </row>
    <row r="365" spans="1:10" x14ac:dyDescent="0.35">
      <c r="A365" t="s">
        <v>94</v>
      </c>
      <c r="B365" t="s">
        <v>17</v>
      </c>
      <c r="C365">
        <v>5.65</v>
      </c>
      <c r="D365" t="str">
        <f t="shared" si="5"/>
        <v>5-10 Years</v>
      </c>
      <c r="E365">
        <v>796</v>
      </c>
      <c r="F365">
        <v>4.0199999999999996</v>
      </c>
      <c r="G365">
        <v>172</v>
      </c>
      <c r="H365">
        <v>21356.5</v>
      </c>
      <c r="I365">
        <v>2316</v>
      </c>
      <c r="J365">
        <v>2017</v>
      </c>
    </row>
    <row r="366" spans="1:10" x14ac:dyDescent="0.35">
      <c r="A366" t="s">
        <v>96</v>
      </c>
      <c r="B366" t="s">
        <v>50</v>
      </c>
      <c r="C366">
        <v>4.63</v>
      </c>
      <c r="D366" t="str">
        <f t="shared" si="5"/>
        <v>&lt;5 Years</v>
      </c>
      <c r="E366">
        <v>4789</v>
      </c>
      <c r="F366">
        <v>5.25</v>
      </c>
      <c r="G366">
        <v>4945.75</v>
      </c>
      <c r="H366">
        <v>182143.42</v>
      </c>
      <c r="I366">
        <v>20574</v>
      </c>
      <c r="J366">
        <v>2018</v>
      </c>
    </row>
    <row r="367" spans="1:10" x14ac:dyDescent="0.35">
      <c r="A367" t="s">
        <v>96</v>
      </c>
      <c r="B367" t="s">
        <v>71</v>
      </c>
      <c r="C367">
        <v>7.11</v>
      </c>
      <c r="D367" t="str">
        <f t="shared" si="5"/>
        <v>5-10 Years</v>
      </c>
      <c r="E367">
        <v>129</v>
      </c>
      <c r="F367">
        <v>3.77</v>
      </c>
      <c r="G367">
        <v>190.03</v>
      </c>
      <c r="H367">
        <v>2796.07</v>
      </c>
      <c r="I367">
        <v>815</v>
      </c>
      <c r="J367">
        <v>2018</v>
      </c>
    </row>
    <row r="368" spans="1:10" x14ac:dyDescent="0.35">
      <c r="A368" t="s">
        <v>96</v>
      </c>
      <c r="B368" t="s">
        <v>47</v>
      </c>
      <c r="C368">
        <v>5.7</v>
      </c>
      <c r="D368" t="str">
        <f t="shared" si="5"/>
        <v>5-10 Years</v>
      </c>
      <c r="E368">
        <v>11880</v>
      </c>
      <c r="F368">
        <v>5.23</v>
      </c>
      <c r="G368">
        <v>6015.69</v>
      </c>
      <c r="H368">
        <v>472042</v>
      </c>
      <c r="I368">
        <v>21156</v>
      </c>
      <c r="J368">
        <v>2018</v>
      </c>
    </row>
    <row r="369" spans="1:10" x14ac:dyDescent="0.35">
      <c r="A369" t="s">
        <v>96</v>
      </c>
      <c r="B369" t="s">
        <v>73</v>
      </c>
      <c r="C369">
        <v>4.57</v>
      </c>
      <c r="D369" t="str">
        <f t="shared" si="5"/>
        <v>&lt;5 Years</v>
      </c>
      <c r="E369">
        <v>1187</v>
      </c>
      <c r="F369">
        <v>1.94</v>
      </c>
      <c r="G369">
        <v>1023</v>
      </c>
      <c r="H369">
        <v>8898</v>
      </c>
      <c r="I369">
        <v>4018</v>
      </c>
      <c r="J369">
        <v>2018</v>
      </c>
    </row>
    <row r="370" spans="1:10" x14ac:dyDescent="0.35">
      <c r="A370" t="s">
        <v>96</v>
      </c>
      <c r="B370" t="s">
        <v>90</v>
      </c>
      <c r="C370">
        <v>10</v>
      </c>
      <c r="D370" t="str">
        <f t="shared" si="5"/>
        <v>5-10 Years</v>
      </c>
      <c r="E370">
        <v>230</v>
      </c>
      <c r="F370">
        <v>5.59</v>
      </c>
      <c r="G370">
        <v>81.77</v>
      </c>
      <c r="H370">
        <v>106.79</v>
      </c>
      <c r="I370">
        <v>586</v>
      </c>
      <c r="J370">
        <v>2018</v>
      </c>
    </row>
    <row r="371" spans="1:10" x14ac:dyDescent="0.35">
      <c r="A371" t="s">
        <v>96</v>
      </c>
      <c r="B371" t="s">
        <v>26</v>
      </c>
      <c r="C371">
        <v>4.1900000000000004</v>
      </c>
      <c r="D371" t="str">
        <f t="shared" si="5"/>
        <v>&lt;5 Years</v>
      </c>
      <c r="E371">
        <v>548</v>
      </c>
      <c r="F371">
        <v>4.07</v>
      </c>
      <c r="G371">
        <v>387.6</v>
      </c>
      <c r="H371">
        <v>11627.98</v>
      </c>
      <c r="I371">
        <v>2153</v>
      </c>
      <c r="J371">
        <v>2018</v>
      </c>
    </row>
    <row r="372" spans="1:10" x14ac:dyDescent="0.35">
      <c r="A372" t="s">
        <v>96</v>
      </c>
      <c r="B372" t="s">
        <v>19</v>
      </c>
      <c r="C372">
        <v>8.67</v>
      </c>
      <c r="D372" t="str">
        <f t="shared" si="5"/>
        <v>5-10 Years</v>
      </c>
      <c r="E372">
        <v>3688</v>
      </c>
      <c r="F372">
        <v>4.51</v>
      </c>
      <c r="G372">
        <v>12980</v>
      </c>
      <c r="H372">
        <v>135246</v>
      </c>
      <c r="I372">
        <v>22962</v>
      </c>
      <c r="J372">
        <v>2018</v>
      </c>
    </row>
    <row r="373" spans="1:10" x14ac:dyDescent="0.35">
      <c r="A373" t="s">
        <v>96</v>
      </c>
      <c r="B373" t="s">
        <v>45</v>
      </c>
      <c r="C373">
        <v>8.08</v>
      </c>
      <c r="D373" t="str">
        <f t="shared" si="5"/>
        <v>5-10 Years</v>
      </c>
      <c r="E373">
        <v>2058</v>
      </c>
      <c r="F373">
        <v>3.31</v>
      </c>
      <c r="G373">
        <v>3725.08</v>
      </c>
      <c r="H373">
        <v>43041.5</v>
      </c>
      <c r="I373">
        <v>9587</v>
      </c>
      <c r="J373">
        <v>2018</v>
      </c>
    </row>
    <row r="374" spans="1:10" x14ac:dyDescent="0.35">
      <c r="A374" t="s">
        <v>96</v>
      </c>
      <c r="B374" t="s">
        <v>58</v>
      </c>
      <c r="C374">
        <v>7</v>
      </c>
      <c r="D374" t="str">
        <f t="shared" si="5"/>
        <v>5-10 Years</v>
      </c>
      <c r="E374">
        <v>1395</v>
      </c>
      <c r="F374">
        <v>4.5999999999999996</v>
      </c>
      <c r="G374">
        <v>1642.5</v>
      </c>
      <c r="H374">
        <v>1533</v>
      </c>
      <c r="I374">
        <v>3850</v>
      </c>
      <c r="J374">
        <v>2018</v>
      </c>
    </row>
    <row r="375" spans="1:10" x14ac:dyDescent="0.35">
      <c r="A375" t="s">
        <v>96</v>
      </c>
      <c r="B375" t="s">
        <v>21</v>
      </c>
      <c r="C375">
        <v>6.03</v>
      </c>
      <c r="D375" t="str">
        <f t="shared" si="5"/>
        <v>5-10 Years</v>
      </c>
      <c r="E375">
        <v>1149</v>
      </c>
      <c r="F375">
        <v>5.17</v>
      </c>
      <c r="G375">
        <v>229.14</v>
      </c>
      <c r="H375">
        <v>61405.19</v>
      </c>
      <c r="I375">
        <v>5495</v>
      </c>
      <c r="J375">
        <v>2018</v>
      </c>
    </row>
    <row r="376" spans="1:10" x14ac:dyDescent="0.35">
      <c r="A376" t="s">
        <v>96</v>
      </c>
      <c r="B376" t="s">
        <v>25</v>
      </c>
      <c r="C376">
        <v>6.86</v>
      </c>
      <c r="D376" t="str">
        <f t="shared" si="5"/>
        <v>5-10 Years</v>
      </c>
      <c r="E376">
        <v>3066</v>
      </c>
      <c r="F376">
        <v>5.1100000000000003</v>
      </c>
      <c r="G376">
        <v>7601.93</v>
      </c>
      <c r="H376">
        <v>209756</v>
      </c>
      <c r="I376">
        <v>17709</v>
      </c>
      <c r="J376">
        <v>2018</v>
      </c>
    </row>
    <row r="377" spans="1:10" x14ac:dyDescent="0.35">
      <c r="A377" t="s">
        <v>96</v>
      </c>
      <c r="B377" t="s">
        <v>29</v>
      </c>
      <c r="C377">
        <v>7.06</v>
      </c>
      <c r="D377" t="str">
        <f t="shared" si="5"/>
        <v>5-10 Years</v>
      </c>
      <c r="E377">
        <v>3589</v>
      </c>
      <c r="F377">
        <v>5.73</v>
      </c>
      <c r="G377">
        <v>8859.0300000000007</v>
      </c>
      <c r="H377">
        <v>231117.27</v>
      </c>
      <c r="I377">
        <v>21985</v>
      </c>
      <c r="J377">
        <v>2018</v>
      </c>
    </row>
    <row r="378" spans="1:10" x14ac:dyDescent="0.35">
      <c r="A378" t="s">
        <v>96</v>
      </c>
      <c r="B378" t="s">
        <v>34</v>
      </c>
      <c r="C378">
        <v>7.46</v>
      </c>
      <c r="D378" t="str">
        <f t="shared" si="5"/>
        <v>5-10 Years</v>
      </c>
      <c r="E378">
        <v>2262</v>
      </c>
      <c r="F378">
        <v>5.31</v>
      </c>
      <c r="G378">
        <v>5059.4799999999996</v>
      </c>
      <c r="H378">
        <v>174056.37</v>
      </c>
      <c r="I378">
        <v>14266</v>
      </c>
      <c r="J378">
        <v>2018</v>
      </c>
    </row>
    <row r="379" spans="1:10" x14ac:dyDescent="0.35">
      <c r="A379" t="s">
        <v>96</v>
      </c>
      <c r="B379" t="s">
        <v>38</v>
      </c>
      <c r="C379">
        <v>7.5</v>
      </c>
      <c r="D379" t="str">
        <f t="shared" si="5"/>
        <v>5-10 Years</v>
      </c>
      <c r="E379">
        <v>2497</v>
      </c>
      <c r="F379">
        <v>5.64</v>
      </c>
      <c r="G379">
        <v>4622.79</v>
      </c>
      <c r="H379">
        <v>151731.06</v>
      </c>
      <c r="I379">
        <v>12743</v>
      </c>
      <c r="J379">
        <v>2018</v>
      </c>
    </row>
    <row r="380" spans="1:10" x14ac:dyDescent="0.35">
      <c r="A380" t="s">
        <v>96</v>
      </c>
      <c r="B380" t="s">
        <v>61</v>
      </c>
      <c r="C380">
        <v>5</v>
      </c>
      <c r="D380" t="str">
        <f t="shared" si="5"/>
        <v>5-10 Years</v>
      </c>
      <c r="E380">
        <v>473</v>
      </c>
      <c r="F380">
        <v>2.0699999999999998</v>
      </c>
      <c r="G380">
        <v>644.85</v>
      </c>
      <c r="H380">
        <v>0</v>
      </c>
      <c r="I380">
        <v>2898</v>
      </c>
      <c r="J380">
        <v>2018</v>
      </c>
    </row>
    <row r="381" spans="1:10" x14ac:dyDescent="0.35">
      <c r="A381" t="s">
        <v>96</v>
      </c>
      <c r="B381" t="s">
        <v>42</v>
      </c>
      <c r="C381">
        <v>6.96</v>
      </c>
      <c r="D381" t="str">
        <f t="shared" si="5"/>
        <v>5-10 Years</v>
      </c>
      <c r="E381">
        <v>3437</v>
      </c>
      <c r="F381">
        <v>5.6</v>
      </c>
      <c r="G381">
        <v>7061.16</v>
      </c>
      <c r="H381">
        <v>251291</v>
      </c>
      <c r="I381">
        <v>22412</v>
      </c>
      <c r="J381">
        <v>2018</v>
      </c>
    </row>
    <row r="382" spans="1:10" x14ac:dyDescent="0.35">
      <c r="A382" t="s">
        <v>96</v>
      </c>
      <c r="B382" t="s">
        <v>40</v>
      </c>
      <c r="C382">
        <v>5.37</v>
      </c>
      <c r="D382" t="str">
        <f t="shared" si="5"/>
        <v>5-10 Years</v>
      </c>
      <c r="E382">
        <v>1284</v>
      </c>
      <c r="F382">
        <v>3.79</v>
      </c>
      <c r="G382">
        <v>185.31</v>
      </c>
      <c r="H382">
        <v>7064.17</v>
      </c>
      <c r="I382">
        <v>3484</v>
      </c>
      <c r="J382">
        <v>2018</v>
      </c>
    </row>
    <row r="383" spans="1:10" x14ac:dyDescent="0.35">
      <c r="A383" t="s">
        <v>96</v>
      </c>
      <c r="B383" t="s">
        <v>76</v>
      </c>
      <c r="C383">
        <v>7.09</v>
      </c>
      <c r="D383" t="str">
        <f t="shared" si="5"/>
        <v>5-10 Years</v>
      </c>
      <c r="E383">
        <v>1775</v>
      </c>
      <c r="F383">
        <v>5.19</v>
      </c>
      <c r="G383">
        <v>5578.28</v>
      </c>
      <c r="H383">
        <v>112541.1</v>
      </c>
      <c r="I383">
        <v>11085</v>
      </c>
      <c r="J383">
        <v>2018</v>
      </c>
    </row>
    <row r="384" spans="1:10" x14ac:dyDescent="0.35">
      <c r="A384" t="s">
        <v>96</v>
      </c>
      <c r="B384" t="s">
        <v>41</v>
      </c>
      <c r="C384">
        <v>9.14</v>
      </c>
      <c r="D384" t="str">
        <f t="shared" si="5"/>
        <v>5-10 Years</v>
      </c>
      <c r="E384">
        <v>284</v>
      </c>
      <c r="F384">
        <v>3.65</v>
      </c>
      <c r="G384">
        <v>121.12</v>
      </c>
      <c r="H384">
        <v>214.89</v>
      </c>
      <c r="I384">
        <v>1166</v>
      </c>
      <c r="J384">
        <v>2018</v>
      </c>
    </row>
    <row r="385" spans="1:10" x14ac:dyDescent="0.35">
      <c r="A385" t="s">
        <v>96</v>
      </c>
      <c r="B385" t="s">
        <v>43</v>
      </c>
      <c r="C385">
        <v>5.92</v>
      </c>
      <c r="D385" t="str">
        <f t="shared" si="5"/>
        <v>5-10 Years</v>
      </c>
      <c r="E385">
        <v>11837</v>
      </c>
      <c r="F385">
        <v>5.2</v>
      </c>
      <c r="G385">
        <v>26020.85</v>
      </c>
      <c r="H385">
        <v>584846.86</v>
      </c>
      <c r="I385">
        <v>53263</v>
      </c>
      <c r="J385">
        <v>2018</v>
      </c>
    </row>
    <row r="386" spans="1:10" x14ac:dyDescent="0.35">
      <c r="A386" t="s">
        <v>96</v>
      </c>
      <c r="B386" t="s">
        <v>77</v>
      </c>
      <c r="C386">
        <v>0</v>
      </c>
      <c r="D386" t="str">
        <f t="shared" si="5"/>
        <v>&lt;5 Years</v>
      </c>
      <c r="E386">
        <v>1679</v>
      </c>
      <c r="F386">
        <v>0</v>
      </c>
      <c r="G386">
        <v>4469.3100000000004</v>
      </c>
      <c r="H386">
        <v>65882.259999999995</v>
      </c>
      <c r="I386">
        <v>0</v>
      </c>
      <c r="J386">
        <v>2018</v>
      </c>
    </row>
    <row r="387" spans="1:10" x14ac:dyDescent="0.35">
      <c r="A387" t="s">
        <v>96</v>
      </c>
      <c r="B387" t="s">
        <v>33</v>
      </c>
      <c r="C387">
        <v>4.74</v>
      </c>
      <c r="D387" t="str">
        <f t="shared" ref="D387:D410" si="6">IF(C387&lt;5,"&lt;5 Years",IF(C387&lt;=10,"5-10 Years","&gt;10 Years"))</f>
        <v>&lt;5 Years</v>
      </c>
      <c r="E387">
        <v>534</v>
      </c>
      <c r="F387">
        <v>3.86</v>
      </c>
      <c r="G387">
        <v>554.79999999999995</v>
      </c>
      <c r="H387">
        <v>12149</v>
      </c>
      <c r="I387">
        <v>1965</v>
      </c>
      <c r="J387">
        <v>2018</v>
      </c>
    </row>
    <row r="388" spans="1:10" x14ac:dyDescent="0.35">
      <c r="A388" t="s">
        <v>96</v>
      </c>
      <c r="B388" t="s">
        <v>30</v>
      </c>
      <c r="C388">
        <v>5.1100000000000003</v>
      </c>
      <c r="D388" t="str">
        <f t="shared" si="6"/>
        <v>5-10 Years</v>
      </c>
      <c r="E388">
        <v>3951</v>
      </c>
      <c r="F388">
        <v>4.7300000000000004</v>
      </c>
      <c r="G388">
        <v>4286.16</v>
      </c>
      <c r="H388">
        <v>142586</v>
      </c>
      <c r="I388">
        <v>19663</v>
      </c>
      <c r="J388">
        <v>2018</v>
      </c>
    </row>
    <row r="389" spans="1:10" x14ac:dyDescent="0.35">
      <c r="A389" t="s">
        <v>96</v>
      </c>
      <c r="B389" t="s">
        <v>18</v>
      </c>
      <c r="C389">
        <v>8</v>
      </c>
      <c r="D389" t="str">
        <f t="shared" si="6"/>
        <v>5-10 Years</v>
      </c>
      <c r="E389">
        <v>37</v>
      </c>
      <c r="F389">
        <v>3.2</v>
      </c>
      <c r="G389">
        <v>0.66</v>
      </c>
      <c r="H389">
        <v>153.43</v>
      </c>
      <c r="I389">
        <v>262</v>
      </c>
      <c r="J389">
        <v>2018</v>
      </c>
    </row>
    <row r="390" spans="1:10" x14ac:dyDescent="0.35">
      <c r="A390" t="s">
        <v>96</v>
      </c>
      <c r="B390" t="s">
        <v>16</v>
      </c>
      <c r="C390">
        <v>7.78</v>
      </c>
      <c r="D390" t="str">
        <f t="shared" si="6"/>
        <v>5-10 Years</v>
      </c>
      <c r="E390">
        <v>250</v>
      </c>
      <c r="F390">
        <v>3.22</v>
      </c>
      <c r="G390">
        <v>5.72</v>
      </c>
      <c r="H390">
        <v>25.75</v>
      </c>
      <c r="I390">
        <v>1050</v>
      </c>
      <c r="J390">
        <v>2018</v>
      </c>
    </row>
    <row r="391" spans="1:10" x14ac:dyDescent="0.35">
      <c r="A391" t="s">
        <v>96</v>
      </c>
      <c r="B391" t="s">
        <v>37</v>
      </c>
      <c r="C391">
        <v>6.6</v>
      </c>
      <c r="D391" t="str">
        <f t="shared" si="6"/>
        <v>5-10 Years</v>
      </c>
      <c r="E391">
        <v>6675</v>
      </c>
      <c r="F391">
        <v>3.74</v>
      </c>
      <c r="G391">
        <v>12775</v>
      </c>
      <c r="H391">
        <v>174033.58</v>
      </c>
      <c r="I391">
        <v>33878</v>
      </c>
      <c r="J391">
        <v>2018</v>
      </c>
    </row>
    <row r="392" spans="1:10" x14ac:dyDescent="0.35">
      <c r="A392" t="s">
        <v>96</v>
      </c>
      <c r="B392" t="s">
        <v>36</v>
      </c>
      <c r="C392">
        <v>15</v>
      </c>
      <c r="D392" t="str">
        <f t="shared" si="6"/>
        <v>&gt;10 Years</v>
      </c>
      <c r="E392">
        <v>579</v>
      </c>
      <c r="F392">
        <v>4.66</v>
      </c>
      <c r="G392">
        <v>266</v>
      </c>
      <c r="H392">
        <v>14812</v>
      </c>
      <c r="I392">
        <v>1090</v>
      </c>
      <c r="J392">
        <v>2018</v>
      </c>
    </row>
    <row r="393" spans="1:10" x14ac:dyDescent="0.35">
      <c r="A393" t="s">
        <v>96</v>
      </c>
      <c r="B393" t="s">
        <v>59</v>
      </c>
      <c r="C393">
        <v>7</v>
      </c>
      <c r="D393" t="str">
        <f t="shared" si="6"/>
        <v>5-10 Years</v>
      </c>
      <c r="E393">
        <v>476</v>
      </c>
      <c r="F393">
        <v>4.54</v>
      </c>
      <c r="G393">
        <v>547.5</v>
      </c>
      <c r="H393">
        <v>248.2</v>
      </c>
      <c r="I393">
        <v>2713</v>
      </c>
      <c r="J393">
        <v>2018</v>
      </c>
    </row>
    <row r="394" spans="1:10" x14ac:dyDescent="0.35">
      <c r="A394" t="s">
        <v>96</v>
      </c>
      <c r="B394" t="s">
        <v>31</v>
      </c>
      <c r="C394">
        <v>5.41</v>
      </c>
      <c r="D394" t="str">
        <f t="shared" si="6"/>
        <v>5-10 Years</v>
      </c>
      <c r="E394">
        <v>8042</v>
      </c>
      <c r="F394">
        <v>5.38</v>
      </c>
      <c r="G394">
        <v>7436.94</v>
      </c>
      <c r="H394">
        <v>373846.57</v>
      </c>
      <c r="I394">
        <v>40148</v>
      </c>
      <c r="J394">
        <v>2018</v>
      </c>
    </row>
    <row r="395" spans="1:10" x14ac:dyDescent="0.35">
      <c r="A395" t="s">
        <v>96</v>
      </c>
      <c r="B395" t="s">
        <v>28</v>
      </c>
      <c r="C395">
        <v>5.65</v>
      </c>
      <c r="D395" t="str">
        <f t="shared" si="6"/>
        <v>5-10 Years</v>
      </c>
      <c r="E395">
        <v>3216</v>
      </c>
      <c r="F395">
        <v>3.69</v>
      </c>
      <c r="G395">
        <v>0</v>
      </c>
      <c r="H395">
        <v>68500.710000000006</v>
      </c>
      <c r="I395">
        <v>10426</v>
      </c>
      <c r="J395">
        <v>2018</v>
      </c>
    </row>
    <row r="396" spans="1:10" x14ac:dyDescent="0.35">
      <c r="A396" t="s">
        <v>96</v>
      </c>
      <c r="B396" t="s">
        <v>27</v>
      </c>
      <c r="C396">
        <v>10</v>
      </c>
      <c r="D396" t="str">
        <f t="shared" si="6"/>
        <v>5-10 Years</v>
      </c>
      <c r="E396">
        <v>512</v>
      </c>
      <c r="F396">
        <v>4.2300000000000004</v>
      </c>
      <c r="G396">
        <v>43.24</v>
      </c>
      <c r="H396">
        <v>4169.51</v>
      </c>
      <c r="I396">
        <v>2147</v>
      </c>
      <c r="J396">
        <v>2018</v>
      </c>
    </row>
    <row r="397" spans="1:10" x14ac:dyDescent="0.35">
      <c r="A397" t="s">
        <v>96</v>
      </c>
      <c r="B397" t="s">
        <v>60</v>
      </c>
      <c r="C397">
        <v>6.95</v>
      </c>
      <c r="D397" t="str">
        <f t="shared" si="6"/>
        <v>5-10 Years</v>
      </c>
      <c r="E397">
        <v>120</v>
      </c>
      <c r="F397">
        <v>3.8</v>
      </c>
      <c r="G397">
        <v>12.22</v>
      </c>
      <c r="H397">
        <v>588.28</v>
      </c>
      <c r="I397">
        <v>1313</v>
      </c>
      <c r="J397">
        <v>2018</v>
      </c>
    </row>
    <row r="398" spans="1:10" x14ac:dyDescent="0.35">
      <c r="A398" t="s">
        <v>96</v>
      </c>
      <c r="B398" t="s">
        <v>24</v>
      </c>
      <c r="C398">
        <v>5.26</v>
      </c>
      <c r="D398" t="str">
        <f t="shared" si="6"/>
        <v>5-10 Years</v>
      </c>
      <c r="E398">
        <v>8778</v>
      </c>
      <c r="F398">
        <v>4.87</v>
      </c>
      <c r="G398">
        <v>10986.09</v>
      </c>
      <c r="H398">
        <v>428313.81</v>
      </c>
      <c r="I398">
        <v>38604</v>
      </c>
      <c r="J398">
        <v>2018</v>
      </c>
    </row>
    <row r="399" spans="1:10" x14ac:dyDescent="0.35">
      <c r="A399" t="s">
        <v>96</v>
      </c>
      <c r="B399" t="s">
        <v>75</v>
      </c>
      <c r="C399">
        <v>9</v>
      </c>
      <c r="D399" t="str">
        <f t="shared" si="6"/>
        <v>5-10 Years</v>
      </c>
      <c r="E399">
        <v>126</v>
      </c>
      <c r="F399">
        <v>4.4000000000000004</v>
      </c>
      <c r="G399">
        <v>96</v>
      </c>
      <c r="H399">
        <v>72</v>
      </c>
      <c r="I399">
        <v>445</v>
      </c>
      <c r="J399">
        <v>2018</v>
      </c>
    </row>
    <row r="400" spans="1:10" x14ac:dyDescent="0.35">
      <c r="A400" t="s">
        <v>96</v>
      </c>
      <c r="B400" t="s">
        <v>23</v>
      </c>
      <c r="C400">
        <v>7.09</v>
      </c>
      <c r="D400" t="str">
        <f t="shared" si="6"/>
        <v>5-10 Years</v>
      </c>
      <c r="E400">
        <v>5679</v>
      </c>
      <c r="F400">
        <v>4.12</v>
      </c>
      <c r="G400">
        <v>9524</v>
      </c>
      <c r="H400">
        <v>282848</v>
      </c>
      <c r="I400">
        <v>33145</v>
      </c>
      <c r="J400">
        <v>2018</v>
      </c>
    </row>
    <row r="401" spans="1:10" x14ac:dyDescent="0.35">
      <c r="A401" t="s">
        <v>96</v>
      </c>
      <c r="B401" t="s">
        <v>22</v>
      </c>
      <c r="C401">
        <v>7.1</v>
      </c>
      <c r="D401" t="str">
        <f t="shared" si="6"/>
        <v>5-10 Years</v>
      </c>
      <c r="E401">
        <v>18796</v>
      </c>
      <c r="F401">
        <v>4.57</v>
      </c>
      <c r="G401">
        <v>24078.48</v>
      </c>
      <c r="H401">
        <v>610514</v>
      </c>
      <c r="I401">
        <v>101879</v>
      </c>
      <c r="J401">
        <v>2018</v>
      </c>
    </row>
    <row r="402" spans="1:10" x14ac:dyDescent="0.35">
      <c r="A402" t="s">
        <v>96</v>
      </c>
      <c r="B402" t="s">
        <v>20</v>
      </c>
      <c r="C402">
        <v>8</v>
      </c>
      <c r="D402" t="str">
        <f t="shared" si="6"/>
        <v>5-10 Years</v>
      </c>
      <c r="E402">
        <v>62</v>
      </c>
      <c r="F402">
        <v>5.01</v>
      </c>
      <c r="G402">
        <v>2.52</v>
      </c>
      <c r="H402">
        <v>440.78</v>
      </c>
      <c r="I402">
        <v>221</v>
      </c>
      <c r="J402">
        <v>2018</v>
      </c>
    </row>
    <row r="403" spans="1:10" x14ac:dyDescent="0.35">
      <c r="A403" t="s">
        <v>96</v>
      </c>
      <c r="B403" t="s">
        <v>17</v>
      </c>
      <c r="C403">
        <v>6.24</v>
      </c>
      <c r="D403" t="str">
        <f t="shared" si="6"/>
        <v>5-10 Years</v>
      </c>
      <c r="E403">
        <v>898</v>
      </c>
      <c r="F403">
        <v>4.59</v>
      </c>
      <c r="G403">
        <v>214</v>
      </c>
      <c r="H403">
        <v>26304.75</v>
      </c>
      <c r="I403">
        <v>2793</v>
      </c>
      <c r="J403">
        <v>2018</v>
      </c>
    </row>
    <row r="404" spans="1:10" x14ac:dyDescent="0.35">
      <c r="A404" t="s">
        <v>96</v>
      </c>
      <c r="B404" t="s">
        <v>49</v>
      </c>
      <c r="C404">
        <v>7.31</v>
      </c>
      <c r="D404" t="str">
        <f t="shared" si="6"/>
        <v>5-10 Years</v>
      </c>
      <c r="E404">
        <v>4990</v>
      </c>
      <c r="F404">
        <v>5.12</v>
      </c>
      <c r="G404">
        <v>8205.2000000000007</v>
      </c>
      <c r="H404">
        <v>193067</v>
      </c>
      <c r="I404">
        <v>23665</v>
      </c>
      <c r="J404">
        <v>2018</v>
      </c>
    </row>
    <row r="405" spans="1:10" x14ac:dyDescent="0.35">
      <c r="A405" t="s">
        <v>96</v>
      </c>
      <c r="B405" t="s">
        <v>91</v>
      </c>
      <c r="C405">
        <v>6.04</v>
      </c>
      <c r="D405" t="str">
        <f t="shared" si="6"/>
        <v>5-10 Years</v>
      </c>
      <c r="E405">
        <v>405</v>
      </c>
      <c r="F405">
        <v>2.96</v>
      </c>
      <c r="G405">
        <v>1.71</v>
      </c>
      <c r="H405">
        <v>214.89</v>
      </c>
      <c r="I405">
        <v>1195</v>
      </c>
      <c r="J405">
        <v>2018</v>
      </c>
    </row>
    <row r="406" spans="1:10" x14ac:dyDescent="0.35">
      <c r="A406" t="s">
        <v>96</v>
      </c>
      <c r="B406" t="s">
        <v>48</v>
      </c>
      <c r="C406">
        <v>5.12</v>
      </c>
      <c r="D406" t="str">
        <f t="shared" si="6"/>
        <v>5-10 Years</v>
      </c>
      <c r="E406">
        <v>441</v>
      </c>
      <c r="F406">
        <v>4.8099999999999996</v>
      </c>
      <c r="G406">
        <v>71.7</v>
      </c>
      <c r="H406">
        <v>12201.57</v>
      </c>
      <c r="I406">
        <v>1538</v>
      </c>
      <c r="J406">
        <v>2018</v>
      </c>
    </row>
    <row r="407" spans="1:10" x14ac:dyDescent="0.35">
      <c r="A407" t="s">
        <v>96</v>
      </c>
      <c r="B407" t="s">
        <v>57</v>
      </c>
      <c r="C407">
        <v>8</v>
      </c>
      <c r="D407" t="str">
        <f t="shared" si="6"/>
        <v>5-10 Years</v>
      </c>
      <c r="E407">
        <v>1138</v>
      </c>
      <c r="F407">
        <v>4.6900000000000004</v>
      </c>
      <c r="G407">
        <v>0.28000000000000003</v>
      </c>
      <c r="H407">
        <v>1300</v>
      </c>
      <c r="I407">
        <v>4247</v>
      </c>
      <c r="J407">
        <v>2018</v>
      </c>
    </row>
    <row r="408" spans="1:10" x14ac:dyDescent="0.35">
      <c r="A408" t="s">
        <v>96</v>
      </c>
      <c r="B408" t="s">
        <v>39</v>
      </c>
      <c r="C408">
        <v>10.46</v>
      </c>
      <c r="D408" t="str">
        <f t="shared" si="6"/>
        <v>&gt;10 Years</v>
      </c>
      <c r="E408">
        <v>3322</v>
      </c>
      <c r="F408">
        <v>2.67</v>
      </c>
      <c r="G408">
        <v>8068</v>
      </c>
      <c r="H408">
        <v>53000</v>
      </c>
      <c r="I408">
        <v>29045</v>
      </c>
      <c r="J408">
        <v>2018</v>
      </c>
    </row>
    <row r="409" spans="1:10" x14ac:dyDescent="0.35">
      <c r="A409" t="s">
        <v>96</v>
      </c>
      <c r="B409" t="s">
        <v>51</v>
      </c>
      <c r="C409">
        <v>6.31</v>
      </c>
      <c r="D409" t="str">
        <f t="shared" si="6"/>
        <v>5-10 Years</v>
      </c>
      <c r="E409">
        <v>5295</v>
      </c>
      <c r="F409">
        <v>5.03</v>
      </c>
      <c r="G409">
        <v>3106.89</v>
      </c>
      <c r="H409">
        <v>266449.26</v>
      </c>
      <c r="I409">
        <v>15279</v>
      </c>
      <c r="J409">
        <v>2018</v>
      </c>
    </row>
    <row r="410" spans="1:10" x14ac:dyDescent="0.35">
      <c r="A410" t="s">
        <v>96</v>
      </c>
      <c r="B410" t="s">
        <v>79</v>
      </c>
      <c r="C410">
        <v>4.95</v>
      </c>
      <c r="D410" t="str">
        <f t="shared" si="6"/>
        <v>&lt;5 Years</v>
      </c>
      <c r="E410">
        <v>216</v>
      </c>
      <c r="F410">
        <v>3.26</v>
      </c>
      <c r="G410">
        <v>128.07</v>
      </c>
      <c r="H410">
        <v>1452.6</v>
      </c>
      <c r="I410">
        <v>558</v>
      </c>
      <c r="J410">
        <v>2018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B583A-333F-40A0-9C8B-F839998EA62C}">
  <sheetPr codeName="Sheet10"/>
  <dimension ref="A1"/>
  <sheetViews>
    <sheetView showGridLines="0" showRowColHeaders="0" tabSelected="1" zoomScale="116" zoomScaleNormal="116" workbookViewId="0">
      <selection activeCell="H34" sqref="H34"/>
    </sheetView>
  </sheetViews>
  <sheetFormatPr defaultRowHeight="14.5" x14ac:dyDescent="0.35"/>
  <cols>
    <col min="1" max="16384" width="8.7265625" style="4"/>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69A12-11C3-443F-A029-32ED6744B775}">
  <sheetPr codeName="Sheet11"/>
  <dimension ref="A1"/>
  <sheetViews>
    <sheetView workbookViewId="0"/>
  </sheetViews>
  <sheetFormatPr defaultRowHeight="14.5" x14ac:dyDescent="0.35"/>
  <cols>
    <col min="1" max="1" width="24.6328125" style="4" customWidth="1"/>
    <col min="2" max="2" width="8.7265625" style="4"/>
    <col min="3" max="3" width="10.90625" style="4" customWidth="1"/>
    <col min="4" max="16384" width="8.7265625" style="4"/>
  </cols>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5963C-085A-44D9-80BC-B2E0BE5B29F8}">
  <sheetPr codeName="Sheet12"/>
  <dimension ref="A2:E17"/>
  <sheetViews>
    <sheetView workbookViewId="0">
      <selection activeCell="E4" sqref="E4"/>
    </sheetView>
  </sheetViews>
  <sheetFormatPr defaultRowHeight="14.5" x14ac:dyDescent="0.35"/>
  <cols>
    <col min="5" max="5" width="11.36328125" bestFit="1" customWidth="1"/>
  </cols>
  <sheetData>
    <row r="2" spans="1:5" x14ac:dyDescent="0.35">
      <c r="A2" s="7" t="s">
        <v>119</v>
      </c>
      <c r="B2" s="7"/>
      <c r="C2" s="7"/>
      <c r="D2" s="7"/>
    </row>
    <row r="3" spans="1:5" x14ac:dyDescent="0.35">
      <c r="A3" s="7"/>
      <c r="B3" s="7"/>
      <c r="C3" s="7"/>
      <c r="D3" s="7"/>
      <c r="E3" s="6">
        <f>SUM(Cleaned_Dataset!G2:G410)</f>
        <v>2259818.1100000008</v>
      </c>
    </row>
    <row r="4" spans="1:5" x14ac:dyDescent="0.35">
      <c r="A4" s="7" t="s">
        <v>120</v>
      </c>
      <c r="B4" s="7"/>
      <c r="C4" s="7"/>
      <c r="D4" s="7"/>
    </row>
    <row r="5" spans="1:5" x14ac:dyDescent="0.35">
      <c r="A5" s="7"/>
      <c r="B5" s="7"/>
      <c r="C5" s="7"/>
      <c r="D5" s="7"/>
      <c r="E5">
        <f>SUM(Cleaned_Dataset!E2:E410)</f>
        <v>1224384</v>
      </c>
    </row>
    <row r="6" spans="1:5" x14ac:dyDescent="0.35">
      <c r="A6" s="7" t="s">
        <v>121</v>
      </c>
      <c r="B6" s="7"/>
      <c r="C6" s="7"/>
      <c r="D6" s="7"/>
    </row>
    <row r="7" spans="1:5" x14ac:dyDescent="0.35">
      <c r="A7" s="7"/>
      <c r="B7" s="7"/>
      <c r="C7" s="7"/>
      <c r="D7" s="7"/>
      <c r="E7" s="5">
        <f>AVERAGE(Cleaned_Dataset!F2:F410)</f>
        <v>4.3118581907090467</v>
      </c>
    </row>
    <row r="8" spans="1:5" x14ac:dyDescent="0.35">
      <c r="A8" s="7" t="s">
        <v>122</v>
      </c>
      <c r="B8" s="7"/>
      <c r="C8" s="7"/>
      <c r="D8" s="7"/>
    </row>
    <row r="9" spans="1:5" x14ac:dyDescent="0.35">
      <c r="A9" s="7"/>
      <c r="B9" s="7"/>
      <c r="C9" s="7"/>
      <c r="D9" s="7"/>
      <c r="E9" s="5">
        <f>SUM(Cleaned_Dataset!H2:H410)</f>
        <v>51011943.200000018</v>
      </c>
    </row>
    <row r="10" spans="1:5" x14ac:dyDescent="0.35">
      <c r="A10" s="7" t="s">
        <v>123</v>
      </c>
      <c r="B10" s="7"/>
      <c r="C10" s="7"/>
      <c r="D10" s="7"/>
    </row>
    <row r="11" spans="1:5" x14ac:dyDescent="0.35">
      <c r="A11" s="7"/>
      <c r="B11" s="7"/>
      <c r="C11" s="7"/>
      <c r="D11" s="7"/>
      <c r="E11" s="6">
        <f>AVERAGE(Cleaned_Dataset!C2:C410)</f>
        <v>6.1446699266503639</v>
      </c>
    </row>
    <row r="12" spans="1:5" x14ac:dyDescent="0.35">
      <c r="A12" s="7" t="s">
        <v>124</v>
      </c>
      <c r="B12" s="7"/>
      <c r="C12" s="7"/>
      <c r="D12" s="7"/>
    </row>
    <row r="13" spans="1:5" x14ac:dyDescent="0.35">
      <c r="A13" s="7"/>
      <c r="B13" s="7"/>
      <c r="C13" s="7"/>
      <c r="D13" s="7"/>
      <c r="E13">
        <f>SUM(Cleaned_Dataset!I2:I410)</f>
        <v>6509278</v>
      </c>
    </row>
    <row r="14" spans="1:5" x14ac:dyDescent="0.35">
      <c r="A14" s="7" t="s">
        <v>125</v>
      </c>
      <c r="B14" s="7"/>
      <c r="C14" s="7"/>
      <c r="D14" s="7"/>
    </row>
    <row r="15" spans="1:5" x14ac:dyDescent="0.35">
      <c r="A15" s="7"/>
      <c r="B15" s="7"/>
      <c r="C15" s="7"/>
      <c r="D15" s="7"/>
      <c r="E15" t="str">
        <f>INDEX(Cleaned_Dataset!B2:B410, MATCH(MAX(Cleaned_Dataset!G2:G410), Cleaned_Dataset!G2:G410, 0))</f>
        <v>Andhra Pradesh Srtc</v>
      </c>
    </row>
    <row r="16" spans="1:5" x14ac:dyDescent="0.35">
      <c r="A16" s="7" t="s">
        <v>126</v>
      </c>
      <c r="B16" s="7"/>
      <c r="C16" s="7"/>
      <c r="D16" s="7"/>
    </row>
    <row r="17" spans="1:5" x14ac:dyDescent="0.35">
      <c r="A17" s="7"/>
      <c r="B17" s="7"/>
      <c r="C17" s="7"/>
      <c r="D17" s="7"/>
      <c r="E17" t="str">
        <f>INDEX(Cleaned_Dataset!B2:B410, MATCH(MIN(Cleaned_Dataset!G2:G410), Cleaned_Dataset!G2:G410, 0))</f>
        <v>Nagaland St</v>
      </c>
    </row>
  </sheetData>
  <mergeCells count="8">
    <mergeCell ref="A14:D15"/>
    <mergeCell ref="A16:D17"/>
    <mergeCell ref="A2:D3"/>
    <mergeCell ref="A4:D5"/>
    <mergeCell ref="A6:D7"/>
    <mergeCell ref="A8:D9"/>
    <mergeCell ref="A10:D11"/>
    <mergeCell ref="A12:D1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FD39F-A75E-47DF-ADD6-413F67D9E94E}">
  <dimension ref="D7"/>
  <sheetViews>
    <sheetView showGridLines="0" workbookViewId="0">
      <selection activeCell="R16" sqref="R16"/>
    </sheetView>
  </sheetViews>
  <sheetFormatPr defaultRowHeight="14.5" x14ac:dyDescent="0.35"/>
  <cols>
    <col min="1" max="16384" width="8.7265625" style="4"/>
  </cols>
  <sheetData>
    <row r="7" spans="4:4" x14ac:dyDescent="0.35">
      <c r="D7" s="9"/>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Original_Dataset</vt:lpstr>
      <vt:lpstr>Obj1</vt:lpstr>
      <vt:lpstr>obj2</vt:lpstr>
      <vt:lpstr>obj3</vt:lpstr>
      <vt:lpstr>obj4</vt:lpstr>
      <vt:lpstr>obj5</vt:lpstr>
      <vt:lpstr>obj6</vt:lpstr>
      <vt:lpstr>obj8</vt:lpstr>
      <vt:lpstr>Sheet2</vt:lpstr>
      <vt:lpstr>Sheet3</vt:lpstr>
      <vt:lpstr>Cleaned_Dataset</vt:lpstr>
      <vt:lpstr>Dashboard</vt:lpstr>
      <vt:lpstr>KPIS</vt:lpstr>
      <vt:lpstr>Sheet1</vt:lpstr>
      <vt:lpstr>Homepage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BALWADA</dc:creator>
  <cp:lastModifiedBy>NIKITA BALWADA</cp:lastModifiedBy>
  <dcterms:created xsi:type="dcterms:W3CDTF">2025-04-13T14:16:37Z</dcterms:created>
  <dcterms:modified xsi:type="dcterms:W3CDTF">2025-04-16T16:33:58Z</dcterms:modified>
</cp:coreProperties>
</file>